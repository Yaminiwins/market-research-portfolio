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C:\Users\mugul\Downloads\"/>
    </mc:Choice>
  </mc:AlternateContent>
  <xr:revisionPtr revIDLastSave="0" documentId="13_ncr:1_{4B2F074E-9EFC-47AD-B81F-B1F7DCE5EE78}" xr6:coauthVersionLast="47" xr6:coauthVersionMax="47" xr10:uidLastSave="{00000000-0000-0000-0000-000000000000}"/>
  <bookViews>
    <workbookView xWindow="-110" yWindow="-110" windowWidth="19420" windowHeight="11500" firstSheet="3" activeTab="3" xr2:uid="{26D4546B-D2A1-4444-8EAF-A6228F96F0C1}"/>
  </bookViews>
  <sheets>
    <sheet name="Pivot" sheetId="6" state="hidden" r:id="rId1"/>
    <sheet name="Title" sheetId="8" state="hidden" r:id="rId2"/>
    <sheet name="Data" sheetId="2" state="hidden" r:id="rId3"/>
    <sheet name="Call Centre Report - 2023" sheetId="5" r:id="rId4"/>
  </sheets>
  <definedNames>
    <definedName name="_xlnm._FilterDatabase" localSheetId="2"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1" r:id="rId5"/>
    <pivotCache cacheId="2" r:id="rId6"/>
    <pivotCache cacheId="3" r:id="rId7"/>
    <pivotCache cacheId="4" r:id="rId8"/>
    <pivotCache cacheId="28" r:id="rId9"/>
    <pivotCache cacheId="31" r:id="rId10"/>
    <pivotCache cacheId="34" r:id="rId11"/>
    <pivotCache cacheId="37" r:id="rId12"/>
    <pivotCache cacheId="4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3" i="6" l="1"/>
  <c r="M27" i="5" s="1"/>
  <c r="C54" i="6"/>
  <c r="C57" i="6" s="1"/>
  <c r="C62" i="6" s="1"/>
  <c r="M31" i="5" s="1"/>
  <c r="C53" i="6"/>
  <c r="C56" i="6" s="1"/>
  <c r="C61" i="6" s="1"/>
  <c r="M30" i="5" s="1"/>
  <c r="C52" i="6"/>
  <c r="C60" i="6" s="1"/>
  <c r="M29" i="5" s="1"/>
  <c r="Q16" i="5" a="1"/>
  <c r="Q16" i="5" s="1"/>
  <c r="P17" i="5" a="1"/>
  <c r="P17" i="5" s="1"/>
  <c r="G40" i="6"/>
  <c r="I43" i="6" s="1"/>
  <c r="E42" i="6" a="1"/>
  <c r="E4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5" i="6" l="1"/>
  <c r="H44" i="6"/>
  <c r="H43" i="6"/>
  <c r="I42" i="6"/>
  <c r="I46" i="6"/>
  <c r="I45" i="6"/>
  <c r="H42" i="6"/>
  <c r="I44" i="6"/>
  <c r="H4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78262B-B13F-49E5-A313-B0354217A6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8371934-A29C-411D-8E2A-DC09B52D30F5}"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6BF3CF48-D279-4FEE-A0B4-85270E6A3774}"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<sst xmlns="http://schemas.openxmlformats.org/spreadsheetml/2006/main" count="3177" uniqueCount="1088">
  <si>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</si>
  <si>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</si>
  <si>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</si>
  <si>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</si>
  <si>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</si>
  <si>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</si>
  <si>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</si>
  <si>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</si>
  <si>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</si>
  <si>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</si>
  <si>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</si>
  <si>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</si>
  <si>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</si>
  <si>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</si>
  <si>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</si>
  <si>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</si>
  <si>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</si>
  <si>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</si>
  <si>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</si>
  <si>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</si>
  <si>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</si>
  <si>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</si>
  <si>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</si>
  <si>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</si>
  <si>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</si>
  <si>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</si>
  <si>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</si>
  <si>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</si>
  <si>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</si>
  <si>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</si>
  <si>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</si>
  <si>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</si>
  <si>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</si>
  <si>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</si>
  <si>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</si>
  <si>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</si>
  <si>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</si>
  <si>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</si>
  <si>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</si>
  <si>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</si>
  <si>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</si>
  <si>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</si>
  <si>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</si>
  <si>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</si>
  <si>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</si>
  <si>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</si>
  <si>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</si>
  <si>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</si>
  <si>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</si>
  <si>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</si>
  <si>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</si>
  <si>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</si>
  <si>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</si>
  <si>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</si>
  <si>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</si>
  <si>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</si>
  <si>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</si>
  <si>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</si>
  <si>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</si>
  <si>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</si>
  <si>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</si>
  <si>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</si>
  <si>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</si>
  <si>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</si>
  <si>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</si>
  <si>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</si>
  <si>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</si>
  <si>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</si>
  <si>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</si>
  <si>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</si>
  <si>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</si>
  <si>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</si>
  <si>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</si>
  <si>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</si>
  <si>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</si>
  <si>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</si>
  <si>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</si>
  <si>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</si>
  <si>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</si>
  <si>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</si>
  <si>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</si>
  <si>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</si>
  <si>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</si>
  <si>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</si>
  <si>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</si>
  <si>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</si>
  <si>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</si>
  <si>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</si>
  <si>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</si>
  <si>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</si>
  <si>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</si>
  <si>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</si>
  <si>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</si>
  <si>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</si>
  <si>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</si>
  <si>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</si>
  <si>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</si>
  <si>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</si>
  <si>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</si>
  <si>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</si>
  <si>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</si>
  <si>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</si>
  <si>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</si>
  <si>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</si>
  <si>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</si>
  <si>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</si>
  <si>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</si>
  <si>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</si>
  <si>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</si>
  <si>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</si>
  <si>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</si>
  <si>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</si>
  <si>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</si>
  <si>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</si>
  <si>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</si>
  <si>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</si>
  <si>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</si>
  <si>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</si>
  <si>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</si>
  <si>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</si>
  <si>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</si>
  <si>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</si>
  <si>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</si>
  <si>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</si>
  <si>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</si>
  <si>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</si>
  <si>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</si>
  <si>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</si>
  <si>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</si>
  <si>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</si>
  <si>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</si>
  <si>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</si>
  <si>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</si>
  <si>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</si>
  <si>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</si>
  <si>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</si>
  <si>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</si>
  <si>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</si>
  <si>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</si>
  <si>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</si>
  <si>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</si>
  <si>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</si>
  <si>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</si>
  <si>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</si>
  <si>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</si>
  <si>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</si>
  <si>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</si>
  <si>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</si>
  <si>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</si>
  <si>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</si>
  <si>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</si>
  <si>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</si>
  <si>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</si>
  <si>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</si>
  <si>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</si>
  <si>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</si>
  <si>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</si>
  <si>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</si>
  <si>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</si>
  <si>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</si>
  <si>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</si>
  <si>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</si>
  <si>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</si>
  <si>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</si>
  <si>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</si>
  <si>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</si>
  <si>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</si>
  <si>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</si>
  <si>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</si>
  <si>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</si>
  <si>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</si>
  <si>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</si>
  <si>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</si>
  <si>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</si>
  <si>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</si>
  <si>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</si>
  <si>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</si>
  <si>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</si>
  <si>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</si>
  <si>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</si>
  <si>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</si>
  <si>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</si>
  <si>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</si>
  <si>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</si>
  <si>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</si>
  <si>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</si>
  <si>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</si>
  <si>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</si>
  <si>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</si>
  <si>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</si>
  <si>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</si>
  <si>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</si>
  <si>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</si>
  <si>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</si>
  <si>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</si>
  <si>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</si>
  <si>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</si>
  <si>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</si>
  <si>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</si>
  <si>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</si>
  <si>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</si>
  <si>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</si>
  <si>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</si>
  <si>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</si>
  <si>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</si>
  <si>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</si>
  <si>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</si>
  <si>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</si>
  <si>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</si>
  <si>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</si>
  <si>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</si>
  <si>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</si>
  <si>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</si>
  <si>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</si>
  <si>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</si>
  <si>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</si>
  <si>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</si>
  <si>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</si>
  <si>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</si>
  <si>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</si>
  <si>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</si>
  <si>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</si>
  <si>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</si>
  <si>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</si>
  <si>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</si>
  <si>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</si>
  <si>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</si>
  <si>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</si>
  <si>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</si>
  <si>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</si>
  <si>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</si>
  <si>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</si>
  <si>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</si>
  <si>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</si>
  <si>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</si>
  <si>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</si>
  <si>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</si>
  <si>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</si>
  <si>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</si>
  <si>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</si>
  <si>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</si>
  <si>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</si>
  <si>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</si>
  <si>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</si>
  <si>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</si>
  <si>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</si>
  <si>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</si>
  <si>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</si>
  <si>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</si>
  <si>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</si>
  <si>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</si>
  <si>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</si>
  <si>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</si>
  <si>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</si>
  <si>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</si>
  <si>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</si>
  <si>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</si>
  <si>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</si>
  <si>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</si>
  <si>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</si>
  <si>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</si>
  <si>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</si>
  <si>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</si>
  <si>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</si>
  <si>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</si>
  <si>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</si>
  <si>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</si>
  <si>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</si>
  <si>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</si>
  <si>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</si>
  <si>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</si>
  <si>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</si>
  <si>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</si>
  <si>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</si>
  <si>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</si>
  <si>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</si>
  <si>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</si>
  <si>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</si>
  <si>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</si>
  <si>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</si>
  <si>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</si>
  <si>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</si>
  <si>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</si>
  <si>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</si>
  <si>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</si>
  <si>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</si>
  <si>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</si>
  <si>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</si>
  <si>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</si>
  <si>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</si>
  <si>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</si>
  <si>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</si>
  <si>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</si>
  <si>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</si>
  <si>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</si>
  <si>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</si>
  <si>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</si>
  <si>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</si>
  <si>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</si>
  <si>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</si>
  <si>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</si>
  <si>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</si>
  <si>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</si>
  <si>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</si>
  <si>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</si>
  <si>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</si>
  <si>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</si>
  <si>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</si>
  <si>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</si>
  <si>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</si>
  <si>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</si>
  <si>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</si>
  <si>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</si>
  <si>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</si>
  <si>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</si>
  <si>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</si>
  <si>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</si>
  <si>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</si>
  <si>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</si>
  <si>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</si>
  <si>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</si>
  <si>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</si>
  <si>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</si>
  <si>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</si>
  <si>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</si>
  <si>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</si>
  <si>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</si>
  <si>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</si>
  <si>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</si>
  <si>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</si>
  <si>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</si>
  <si>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</si>
  <si>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</si>
  <si>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</si>
  <si>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</si>
  <si>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</si>
  <si>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</si>
  <si>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</si>
  <si>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</si>
  <si>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</si>
  <si>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</si>
  <si>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</si>
  <si>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</si>
  <si>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</si>
  <si>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</si>
  <si>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</si>
  <si>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</si>
  <si>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</si>
  <si>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</si>
  <si>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</si>
  <si>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</si>
  <si>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</si>
  <si>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</si>
  <si>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</si>
  <si>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</si>
  <si>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</si>
  <si>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</si>
  <si>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</si>
  <si>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</si>
  <si>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</si>
  <si>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</si>
  <si>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</si>
  <si>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</si>
  <si>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</si>
  <si>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</si>
  <si>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</si>
  <si>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</si>
  <si>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</si>
  <si>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</si>
  <si>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</si>
  <si>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</si>
  <si>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</si>
  <si>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</si>
  <si>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</si>
  <si>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</si>
  <si>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</si>
  <si>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</si>
  <si>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</si>
  <si>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</si>
  <si>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</si>
  <si>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</si>
  <si>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</si>
  <si>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</si>
  <si>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</si>
  <si>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</si>
  <si>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</si>
  <si>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</si>
  <si>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</si>
  <si>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</si>
  <si>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</si>
  <si>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</si>
  <si>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</si>
  <si>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</si>
  <si>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</si>
  <si>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</si>
  <si>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</si>
  <si>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</si>
  <si>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</si>
  <si>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</si>
  <si>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</si>
  <si>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</si>
  <si>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</si>
  <si>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</si>
  <si>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</si>
  <si>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</si>
  <si>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</si>
  <si>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</si>
  <si>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</si>
  <si>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</si>
  <si>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</si>
  <si>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</si>
  <si>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</si>
  <si>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</si>
  <si>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</si>
  <si>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</si>
  <si>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</si>
  <si>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</si>
  <si>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</si>
  <si>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</si>
  <si>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</si>
  <si>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</si>
  <si>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</si>
  <si>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</si>
  <si>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</si>
  <si>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</si>
  <si>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</si>
  <si>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</si>
  <si>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</si>
  <si>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</si>
  <si>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</si>
  <si>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</si>
  <si>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</si>
  <si>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</si>
  <si>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</si>
  <si>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</si>
  <si>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</si>
  <si>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</si>
  <si>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</si>
  <si>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</si>
  <si>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</si>
  <si>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</si>
  <si>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</si>
  <si>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</si>
  <si>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</si>
  <si>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</si>
  <si>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</si>
  <si>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</si>
  <si>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</si>
  <si>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</si>
  <si>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</si>
  <si>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</si>
  <si>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</si>
  <si>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</si>
  <si>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</si>
  <si>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</si>
  <si>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</si>
  <si>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</si>
  <si>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</si>
  <si>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</si>
  <si>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</si>
  <si>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</si>
  <si>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</si>
  <si>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</si>
  <si>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</si>
  <si>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</si>
  <si>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</si>
  <si>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</si>
  <si>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</si>
  <si>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</si>
  <si>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</si>
  <si>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</si>
  <si>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</si>
  <si>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</si>
  <si>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</si>
  <si>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</si>
  <si>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</si>
  <si>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</si>
  <si>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</si>
  <si>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</si>
  <si>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</si>
  <si>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</si>
  <si>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</si>
  <si>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</si>
  <si>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</si>
  <si>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</si>
  <si>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</si>
  <si>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</si>
  <si>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</si>
  <si>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</si>
  <si>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</si>
  <si>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</si>
  <si>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</si>
  <si>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</si>
  <si>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</si>
  <si>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</si>
  <si>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</si>
  <si>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</si>
  <si>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</si>
  <si>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</si>
  <si>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</si>
  <si>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</si>
  <si>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</si>
  <si>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</si>
  <si>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</si>
  <si>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</si>
  <si>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</si>
  <si>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</si>
  <si>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</si>
  <si>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</si>
  <si>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</si>
  <si>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</si>
  <si>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</si>
  <si>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</si>
  <si>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</si>
  <si>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</si>
  <si>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</si>
  <si>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</si>
  <si>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</si>
  <si>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</si>
  <si>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</si>
  <si>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</si>
  <si>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</si>
  <si>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</si>
  <si>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</si>
  <si>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</si>
  <si>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</si>
  <si>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</si>
  <si>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</si>
  <si>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</si>
  <si>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</si>
  <si>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</si>
  <si>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</si>
  <si>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</si>
  <si>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</si>
  <si>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</si>
  <si>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</si>
  <si>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</si>
  <si>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</si>
  <si>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</si>
  <si>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</si>
  <si>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</si>
  <si>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</si>
  <si>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</si>
  <si>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</si>
  <si>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</si>
  <si>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</si>
  <si>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</si>
  <si>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</si>
  <si>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</si>
  <si>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</si>
  <si>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</si>
  <si>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</si>
  <si>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</si>
  <si>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</si>
  <si>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</si>
  <si>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</si>
  <si>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</si>
  <si>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</si>
  <si>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</si>
  <si>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</si>
  <si>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</si>
  <si>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</si>
  <si>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</si>
  <si>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</si>
  <si>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</si>
  <si>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</si>
  <si>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</si>
  <si>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</si>
  <si>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</si>
  <si>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</si>
  <si>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</si>
  <si>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</si>
  <si>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</si>
  <si>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</si>
  <si>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</si>
  <si>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</si>
  <si>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</si>
  <si>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</si>
  <si>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</si>
  <si>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</si>
  <si>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</si>
  <si>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</si>
  <si>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</si>
  <si>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</si>
  <si>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</si>
  <si>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</si>
  <si>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</si>
  <si>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</si>
  <si>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</si>
  <si>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</si>
  <si>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</si>
  <si>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</si>
  <si>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</si>
  <si>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</si>
  <si>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</si>
  <si>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</si>
  <si>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</si>
  <si>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</si>
  <si>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</si>
  <si>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</si>
  <si>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</si>
  <si>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</si>
  <si>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</si>
  <si>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</si>
  <si>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</si>
  <si>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</si>
  <si>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</si>
  <si>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</si>
  <si>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</si>
  <si>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</si>
  <si>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</si>
  <si>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</si>
  <si>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</si>
  <si>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</si>
  <si>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</si>
  <si>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</si>
  <si>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</si>
  <si>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</si>
  <si>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</si>
  <si>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</si>
  <si>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</si>
  <si>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</si>
  <si>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</si>
  <si>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</si>
  <si>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</si>
  <si>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</si>
  <si>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</si>
  <si>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</si>
  <si>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</si>
  <si>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</si>
  <si>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</si>
  <si>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</si>
  <si>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</si>
  <si>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</si>
  <si>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</si>
  <si>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</si>
  <si>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</si>
  <si>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</si>
  <si>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</si>
  <si>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</si>
  <si>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</si>
  <si>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</si>
  <si>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</si>
  <si>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</si>
  <si>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</si>
  <si>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</si>
  <si>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</si>
  <si>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</si>
  <si>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</si>
  <si>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</si>
  <si>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</si>
  <si>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</si>
  <si>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</si>
  <si>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</si>
  <si>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</si>
  <si>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</si>
  <si>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</si>
  <si>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</si>
  <si>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</si>
  <si>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</si>
  <si>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</si>
  <si>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</si>
  <si>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</si>
  <si>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</si>
  <si>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</si>
  <si>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</si>
  <si>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</si>
  <si>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</si>
  <si>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</si>
  <si>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</si>
  <si>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</si>
  <si>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</si>
  <si>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</si>
  <si>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</si>
  <si>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</si>
  <si>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</si>
  <si>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</si>
  <si>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</si>
  <si>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</si>
  <si>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</si>
  <si>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</si>
  <si>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</si>
  <si>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</si>
  <si>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</si>
  <si>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</si>
  <si>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</si>
  <si>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</si>
  <si>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</si>
  <si>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</si>
  <si>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</si>
  <si>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</si>
  <si>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</si>
  <si>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</si>
  <si>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</si>
  <si>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</si>
  <si>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</si>
  <si>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</si>
  <si>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</si>
  <si>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</si>
  <si>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</si>
  <si>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</si>
  <si>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</si>
  <si>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</si>
  <si>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</si>
  <si>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</si>
  <si>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</si>
  <si>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</si>
  <si>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</si>
  <si>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</si>
  <si>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</si>
  <si>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</si>
  <si>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</si>
  <si>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</si>
  <si>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</si>
  <si>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</si>
  <si>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</si>
  <si>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</si>
  <si>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</si>
  <si>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</si>
  <si>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</si>
  <si>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</si>
  <si>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</si>
  <si>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</si>
  <si>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</si>
  <si>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</si>
  <si>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</si>
  <si>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</si>
  <si>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</si>
  <si>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</si>
  <si>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</si>
  <si>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</si>
  <si>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</si>
  <si>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</si>
  <si>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</si>
  <si>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</si>
  <si>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</si>
  <si>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</si>
  <si>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</si>
  <si>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</si>
  <si>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</si>
  <si>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</si>
  <si>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</si>
  <si>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</si>
  <si>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</si>
  <si>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</si>
  <si>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</si>
  <si>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</si>
  <si>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</si>
  <si>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</si>
  <si>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</si>
  <si>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</si>
  <si>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</si>
  <si>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</si>
  <si>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</si>
  <si>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</si>
  <si>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</si>
  <si>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</si>
  <si>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</si>
  <si>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</si>
  <si>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</si>
  <si>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</si>
  <si>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</si>
  <si>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</si>
  <si>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</si>
  <si>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</si>
  <si>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</si>
  <si>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</si>
  <si>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</si>
  <si>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</si>
  <si>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</si>
  <si>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</si>
  <si>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</si>
  <si>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</si>
  <si>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</si>
  <si>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</si>
  <si>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</si>
  <si>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</si>
  <si>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</si>
  <si>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</si>
  <si>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</si>
  <si>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</si>
  <si>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</si>
  <si>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</si>
  <si>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</si>
  <si>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</si>
  <si>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</si>
  <si>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</si>
  <si>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</si>
  <si>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</si>
  <si>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</si>
  <si>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</si>
  <si>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</si>
  <si>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</si>
  <si>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</si>
  <si>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</si>
  <si>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</si>
  <si>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</si>
  <si>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</si>
  <si>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</si>
  <si>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</si>
  <si>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</si>
  <si>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</si>
  <si>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</si>
  <si>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</si>
  <si>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</si>
  <si>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</si>
  <si>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</si>
  <si>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</si>
  <si>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</si>
  <si>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</si>
  <si>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</si>
  <si>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</si>
  <si>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</si>
  <si>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</si>
  <si>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</si>
  <si>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</si>
  <si>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</si>
  <si>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</si>
  <si>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</si>
  <si>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</si>
  <si>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</si>
  <si>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</si>
  <si>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</si>
  <si>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</si>
  <si>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</si>
  <si>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</si>
  <si>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</si>
  <si>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</si>
  <si>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</si>
  <si>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</si>
  <si>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</si>
  <si>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</si>
  <si>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</si>
  <si>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</si>
  <si>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</si>
  <si>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</si>
  <si>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</si>
  <si>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</si>
  <si>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</si>
  <si>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</si>
  <si>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</si>
  <si>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</si>
  <si>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</si>
  <si>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</si>
  <si>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</si>
  <si>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</si>
  <si>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</si>
  <si>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</si>
  <si>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</si>
  <si>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</si>
  <si>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</si>
  <si>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</si>
  <si>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</si>
  <si>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</si>
  <si>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</si>
  <si>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</si>
  <si>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</si>
  <si>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</si>
  <si>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</si>
  <si>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</si>
  <si>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</si>
  <si>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</si>
  <si>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</si>
  <si>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</si>
  <si>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</si>
  <si>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</si>
  <si>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</si>
  <si>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</si>
  <si>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</si>
  <si>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</si>
  <si>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</si>
  <si>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</si>
  <si>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</si>
  <si>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</si>
  <si>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</si>
  <si>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</si>
  <si>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</si>
  <si>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</si>
  <si>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</si>
  <si>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</si>
  <si>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</si>
  <si>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</si>
  <si>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</si>
  <si>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</si>
  <si>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</si>
  <si>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</si>
  <si>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</si>
  <si>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</si>
  <si>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</si>
  <si>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</si>
  <si>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</si>
  <si>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</si>
  <si>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</si>
  <si>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</si>
  <si>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</si>
  <si>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</si>
  <si>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</si>
  <si>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</si>
  <si>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</si>
  <si>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</si>
  <si>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</si>
  <si>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</si>
  <si>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</si>
  <si>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</si>
  <si>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</si>
  <si>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</si>
  <si>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</si>
  <si>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</si>
  <si>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</si>
  <si>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</si>
  <si>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</si>
  <si>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</si>
  <si>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</si>
  <si>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</si>
  <si>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</si>
  <si>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</si>
  <si>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</si>
  <si>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</si>
  <si>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</si>
  <si>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</si>
  <si>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</si>
  <si>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</si>
  <si>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</si>
  <si>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</si>
  <si>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</si>
  <si>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</si>
  <si>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</si>
  <si>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</si>
  <si>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</si>
  <si>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</si>
  <si>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</si>
  <si>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</si>
  <si>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</si>
  <si>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</si>
  <si>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</si>
  <si>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</si>
  <si>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</si>
  <si>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</si>
  <si>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</si>
  <si>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</si>
  <si>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</si>
  <si>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</si>
  <si>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</si>
  <si>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</si>
  <si>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</si>
  <si>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</si>
  <si>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</si>
  <si>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</si>
  <si>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</si>
  <si>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</si>
  <si>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</si>
  <si>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</si>
  <si>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</si>
  <si>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</si>
  <si>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</si>
  <si>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</si>
  <si>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</si>
  <si>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</si>
  <si>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</si>
  <si>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</si>
  <si>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</si>
  <si>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</si>
  <si>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</si>
  <si>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</si>
  <si>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</si>
  <si>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</si>
  <si>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</si>
  <si>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</si>
  <si>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</si>
  <si>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</si>
  <si>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</si>
  <si>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</si>
  <si>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</si>
  <si>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</si>
  <si>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</si>
  <si>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</si>
  <si>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</si>
  <si>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</si>
  <si>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</si>
  <si>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</si>
  <si>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</si>
  <si>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</si>
  <si>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</si>
  <si>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</si>
  <si>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</si>
  <si>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</si>
  <si>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</si>
  <si>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</si>
  <si>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</si>
  <si>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</si>
  <si>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</si>
  <si>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</si>
  <si>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</si>
  <si>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</si>
  <si>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</si>
  <si>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</si>
  <si>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</si>
  <si>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</si>
  <si>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</si>
  <si>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</si>
  <si>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</si>
  <si>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</si>
  <si>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</si>
  <si>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</si>
  <si>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</si>
  <si>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</si>
  <si>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</si>
  <si>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</si>
  <si>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</si>
  <si>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</si>
  <si>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</si>
  <si>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</si>
  <si>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</si>
  <si>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</si>
  <si>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</si>
  <si>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</si>
  <si>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</si>
  <si>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</si>
  <si>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</si>
  <si>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</si>
  <si>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</si>
  <si>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</si>
  <si>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</si>
  <si>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</si>
  <si>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</si>
  <si>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</si>
  <si>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</si>
  <si>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</si>
  <si>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</si>
  <si>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</si>
  <si>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</si>
  <si>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</si>
  <si>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</si>
  <si>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</si>
  <si>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</si>
  <si>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</si>
  <si>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</si>
  <si>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</si>
  <si>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</si>
  <si>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</si>
  <si>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Calls Count</t>
  </si>
  <si>
    <t>Total Amount</t>
  </si>
  <si>
    <t>Total Duration</t>
  </si>
  <si>
    <t>Average Rating</t>
  </si>
  <si>
    <t>5*Calls</t>
  </si>
  <si>
    <t>Grand Total</t>
  </si>
  <si>
    <t>Jan</t>
  </si>
  <si>
    <t>Feb</t>
  </si>
  <si>
    <t>Mar</t>
  </si>
  <si>
    <t>Apr</t>
  </si>
  <si>
    <t>May</t>
  </si>
  <si>
    <t>Jun</t>
  </si>
  <si>
    <t>Jul</t>
  </si>
  <si>
    <t>Aug</t>
  </si>
  <si>
    <t>Sep</t>
  </si>
  <si>
    <t>Oct</t>
  </si>
  <si>
    <t>Nov</t>
  </si>
  <si>
    <t>Dec</t>
  </si>
  <si>
    <t>Row Labels</t>
  </si>
  <si>
    <t>Calls Count2</t>
  </si>
  <si>
    <t>Friday</t>
  </si>
  <si>
    <t>Monday</t>
  </si>
  <si>
    <t>Saturday</t>
  </si>
  <si>
    <t>Sunday</t>
  </si>
  <si>
    <t>Thursday</t>
  </si>
  <si>
    <t>Tuesday</t>
  </si>
  <si>
    <t>Wednesday</t>
  </si>
  <si>
    <t>For Graph</t>
  </si>
  <si>
    <t>Rep</t>
  </si>
  <si>
    <t>Calls</t>
  </si>
  <si>
    <t>Amount</t>
  </si>
  <si>
    <t>Selected Rep</t>
  </si>
  <si>
    <t>Sel.Calls</t>
  </si>
  <si>
    <t>Sel.Amount</t>
  </si>
  <si>
    <t>Column Labels</t>
  </si>
  <si>
    <t>TOTAL</t>
  </si>
  <si>
    <t>Rep Summary</t>
  </si>
  <si>
    <t>% of calls</t>
  </si>
  <si>
    <t>Call Rank</t>
  </si>
  <si>
    <t>Amount Rank</t>
  </si>
  <si>
    <t>Labels</t>
  </si>
  <si>
    <t>Title</t>
  </si>
  <si>
    <t>Heena Sheikh</t>
  </si>
  <si>
    <t>Aish</t>
  </si>
  <si>
    <t>Deepika</t>
  </si>
  <si>
    <t>Joy</t>
  </si>
  <si>
    <t>Rachel</t>
  </si>
  <si>
    <t>CALL CENTRE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</si>
</sst>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0,\k"/>
    <numFmt numFmtId="168" formatCode="&quot;₹&quot;\ #,##0"/>
  </numFmts>
  <fonts count="11"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9"/>
      <color theme="1"/>
      <name val="Aptos"/>
      <family val="2"/>
      <scheme val="minor"/>
    </font>
    <font>
      <sz val="9"/>
      <color theme="1"/>
      <name val="Aptos ExtraBold"/>
      <family val="2"/>
      <scheme val="major"/>
    </font>
    <font>
      <sz val="10"/>
      <color theme="1"/>
      <name val="Aptos ExtraBold"/>
      <family val="2"/>
      <scheme val="major"/>
    </font>
    <font>
      <sz val="14"/>
      <color theme="6" tint="-0.499984740745262"/>
      <name val="Aptos ExtraBold"/>
      <family val="2"/>
      <scheme val="major"/>
    </font>
    <font>
      <sz val="12"/>
      <name val="Aptos ExtraBold"/>
      <family val="2"/>
      <scheme val="major"/>
    </font>
    <font>
      <sz val="22"/>
      <color theme="6" tint="-0.499984740745262"/>
      <name val="Aptos ExtraBold"/>
      <family val="2"/>
      <scheme val="major"/>
    </font>
  </fonts>
  <fills count="7">
    <fill>
      <patternFill patternType="none"/>
    </fill>
    <fill>
      <patternFill patternType="gray125"/>
    </fill>
    <fill>
      <patternFill patternType="solid">
        <fgColor theme="7"/>
        <bgColor indexed="64"/>
      </patternFill>
    </fill>
    <fill>
      <patternFill patternType="solid">
        <fgColor rgb="FFFC6B4E"/>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Dashed">
        <color auto="1"/>
      </left>
      <right/>
      <top style="mediumDashed">
        <color auto="1"/>
      </top>
      <bottom/>
      <diagonal/>
    </border>
    <border>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style="mediumDashed">
        <color auto="1"/>
      </right>
      <top/>
      <bottom/>
      <diagonal/>
    </border>
    <border>
      <left style="mediumDashed">
        <color auto="1"/>
      </left>
      <right/>
      <top/>
      <bottom style="mediumDashed">
        <color auto="1"/>
      </bottom>
      <diagonal/>
    </border>
    <border>
      <left/>
      <right/>
      <top/>
      <bottom style="mediumDashed">
        <color auto="1"/>
      </bottom>
      <diagonal/>
    </border>
    <border>
      <left/>
      <right style="mediumDashed">
        <color auto="1"/>
      </right>
      <top/>
      <bottom style="mediumDashed">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3" borderId="0" xfId="0" applyFill="1" applyAlignment="1">
      <alignment horizontal="left"/>
    </xf>
    <xf numFmtId="0" fontId="0" fillId="0" borderId="0" xfId="0" applyAlignment="1">
      <alignment horizontal="left" indent="1"/>
    </xf>
    <xf numFmtId="0" fontId="6" fillId="5" borderId="10" xfId="0" applyFont="1" applyFill="1" applyBorder="1"/>
    <xf numFmtId="0" fontId="6" fillId="5" borderId="13" xfId="0" applyFont="1" applyFill="1" applyBorder="1"/>
    <xf numFmtId="0" fontId="5" fillId="5" borderId="0" xfId="0" applyFont="1" applyFill="1"/>
    <xf numFmtId="0" fontId="5" fillId="5" borderId="14" xfId="0" applyFont="1" applyFill="1" applyBorder="1"/>
    <xf numFmtId="168" fontId="5" fillId="5" borderId="0" xfId="0" applyNumberFormat="1" applyFont="1" applyFill="1"/>
    <xf numFmtId="168" fontId="5" fillId="5" borderId="14" xfId="0" applyNumberFormat="1" applyFont="1" applyFill="1" applyBorder="1"/>
    <xf numFmtId="0" fontId="6" fillId="5" borderId="15" xfId="0" applyFont="1" applyFill="1" applyBorder="1"/>
    <xf numFmtId="168" fontId="5" fillId="5" borderId="16" xfId="0" applyNumberFormat="1" applyFont="1" applyFill="1" applyBorder="1"/>
    <xf numFmtId="168" fontId="5" fillId="5" borderId="17" xfId="0" applyNumberFormat="1" applyFont="1" applyFill="1" applyBorder="1"/>
    <xf numFmtId="0" fontId="7" fillId="5" borderId="13" xfId="0" applyFont="1" applyFill="1" applyBorder="1"/>
    <xf numFmtId="0" fontId="7" fillId="5" borderId="11" xfId="0" applyFont="1" applyFill="1" applyBorder="1" applyAlignment="1">
      <alignment horizontal="center" vertical="center"/>
    </xf>
    <xf numFmtId="0" fontId="7" fillId="5" borderId="12" xfId="0" applyFont="1" applyFill="1" applyBorder="1" applyAlignment="1">
      <alignment horizontal="center" vertical="center"/>
    </xf>
    <xf numFmtId="9" fontId="0" fillId="0" borderId="0" xfId="1" applyFont="1"/>
    <xf numFmtId="0" fontId="8" fillId="6" borderId="0" xfId="0" applyFont="1" applyFill="1" applyAlignment="1">
      <alignment horizontal="center" vertical="center"/>
    </xf>
    <xf numFmtId="0" fontId="10" fillId="0" borderId="0" xfId="0" applyFont="1" applyAlignment="1">
      <alignment horizontal="left" vertical="center"/>
    </xf>
    <xf numFmtId="0" fontId="9" fillId="4" borderId="18" xfId="0" applyFont="1" applyFill="1" applyBorder="1" applyAlignment="1">
      <alignment horizontal="center" vertical="center"/>
    </xf>
    <xf numFmtId="0" fontId="9" fillId="4" borderId="19" xfId="0" applyFont="1" applyFill="1" applyBorder="1" applyAlignment="1">
      <alignment horizontal="center" vertical="center"/>
    </xf>
    <xf numFmtId="0" fontId="8" fillId="6" borderId="0" xfId="0" applyFont="1" applyFill="1" applyAlignment="1">
      <alignment horizontal="center" vertical="center"/>
    </xf>
  </cellXfs>
  <cellStyles count="2">
    <cellStyle name="Normal" xfId="0" builtinId="0"/>
    <cellStyle name="Percent" xfId="1" builtinId="5"/>
  </cellStyles>
  <dxfs count="19">
    <dxf>
      <fill>
        <patternFill patternType="solid">
          <bgColor rgb="FFFC6B4E"/>
        </patternFill>
      </fill>
    </dxf>
    <dxf>
      <fill>
        <patternFill patternType="solid">
          <bgColor rgb="FFFC6B4E"/>
        </patternFill>
      </fill>
    </dxf>
    <dxf>
      <fill>
        <patternFill>
          <bgColor theme="9" tint="0.79998168889431442"/>
        </patternFill>
      </fill>
      <border>
        <left style="dashDot">
          <color auto="1"/>
        </left>
        <right style="dashDot">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FC6B4E"/>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8"/>
    </tableStyle>
  </tableStyles>
  <colors>
    <mruColors>
      <color rgb="FF9C3F06"/>
      <color rgb="FFFC6B4E"/>
      <color rgb="FFD72603"/>
      <color rgb="FFFEC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 - 2023 (1).xlsx]Pivot!Rep Satisfaction</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a:solidFill>
                  <a:srgbClr val="9C3F06"/>
                </a:solidFill>
                <a:latin typeface="+mj-lt"/>
              </a:rPr>
              <a:t>Rating</a:t>
            </a:r>
          </a:p>
        </c:rich>
      </c:tx>
      <c:layout>
        <c:manualLayout>
          <c:xMode val="edge"/>
          <c:yMode val="edge"/>
          <c:x val="6.276030874430169E-2"/>
          <c:y val="3.610108303249097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Pivot!$D$61:$D$66</c:f>
              <c:strCache>
                <c:ptCount val="5"/>
                <c:pt idx="0">
                  <c:v>1</c:v>
                </c:pt>
                <c:pt idx="1">
                  <c:v>2</c:v>
                </c:pt>
                <c:pt idx="2">
                  <c:v>3</c:v>
                </c:pt>
                <c:pt idx="3">
                  <c:v>4</c:v>
                </c:pt>
                <c:pt idx="4">
                  <c:v>5</c:v>
                </c:pt>
              </c:strCache>
            </c:strRef>
          </c:cat>
          <c:val>
            <c:numRef>
              <c:f>Pivot!$E$61:$E$66</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C223-4FF7-B7A0-D34F5AD007F6}"/>
            </c:ext>
          </c:extLst>
        </c:ser>
        <c:dLbls>
          <c:dLblPos val="outEnd"/>
          <c:showLegendKey val="0"/>
          <c:showVal val="1"/>
          <c:showCatName val="0"/>
          <c:showSerName val="0"/>
          <c:showPercent val="0"/>
          <c:showBubbleSize val="0"/>
        </c:dLbls>
        <c:gapWidth val="10"/>
        <c:overlap val="-27"/>
        <c:axId val="686351536"/>
        <c:axId val="686335696"/>
      </c:barChart>
      <c:catAx>
        <c:axId val="686351536"/>
        <c:scaling>
          <c:orientation val="minMax"/>
        </c:scaling>
        <c:delete val="1"/>
        <c:axPos val="b"/>
        <c:numFmt formatCode="General" sourceLinked="1"/>
        <c:majorTickMark val="none"/>
        <c:minorTickMark val="none"/>
        <c:tickLblPos val="nextTo"/>
        <c:crossAx val="686335696"/>
        <c:crosses val="autoZero"/>
        <c:auto val="1"/>
        <c:lblAlgn val="ctr"/>
        <c:lblOffset val="100"/>
        <c:noMultiLvlLbl val="0"/>
      </c:catAx>
      <c:valAx>
        <c:axId val="686335696"/>
        <c:scaling>
          <c:orientation val="minMax"/>
        </c:scaling>
        <c:delete val="1"/>
        <c:axPos val="l"/>
        <c:numFmt formatCode="#,##0" sourceLinked="1"/>
        <c:majorTickMark val="none"/>
        <c:minorTickMark val="none"/>
        <c:tickLblPos val="nextTo"/>
        <c:crossAx val="68635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rgbClr val="9C3F06"/>
                </a:solidFill>
                <a:latin typeface="+mj-lt"/>
              </a:rPr>
              <a:t>Amount</a:t>
            </a:r>
          </a:p>
        </c:rich>
      </c:tx>
      <c:layout>
        <c:manualLayout>
          <c:xMode val="edge"/>
          <c:yMode val="edge"/>
          <c:x val="4.980842911877395E-2"/>
          <c:y val="2.4906600249066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161846778285134"/>
          <c:y val="0.149439601494396"/>
          <c:w val="0.77343909597507221"/>
          <c:h val="0.80489829804898294"/>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Pivot!$E$42:$E$46</c:f>
              <c:strCache>
                <c:ptCount val="5"/>
                <c:pt idx="0">
                  <c:v>R01</c:v>
                </c:pt>
                <c:pt idx="1">
                  <c:v>R02</c:v>
                </c:pt>
                <c:pt idx="2">
                  <c:v>R03</c:v>
                </c:pt>
                <c:pt idx="3">
                  <c:v>R04</c:v>
                </c:pt>
                <c:pt idx="4">
                  <c:v>R05</c:v>
                </c:pt>
              </c:strCache>
            </c:strRef>
          </c:cat>
          <c:val>
            <c:numRef>
              <c:f>Pivot!$G$42:$G$46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175-4B62-AEEC-9665B8BAF743}"/>
            </c:ext>
          </c:extLst>
        </c:ser>
        <c:ser>
          <c:idx val="1"/>
          <c:order val="1"/>
          <c:tx>
            <c:strRef>
              <c:f>Pivot!$I$41</c:f>
              <c:strCache>
                <c:ptCount val="1"/>
                <c:pt idx="0">
                  <c:v>Sel.Amount</c:v>
                </c:pt>
              </c:strCache>
            </c:strRef>
          </c:tx>
          <c:spPr>
            <a:gradFill>
              <a:gsLst>
                <a:gs pos="0">
                  <a:srgbClr val="D72603"/>
                </a:gs>
                <a:gs pos="100000">
                  <a:srgbClr val="FC6B4E"/>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Pivot!$I$42:$I$46</c:f>
              <c:numCache>
                <c:formatCode>\$#,###.0,\k</c:formatCode>
                <c:ptCount val="5"/>
                <c:pt idx="0">
                  <c:v>18415</c:v>
                </c:pt>
                <c:pt idx="1">
                  <c:v>#N/A</c:v>
                </c:pt>
                <c:pt idx="2">
                  <c:v>#N/A</c:v>
                </c:pt>
                <c:pt idx="3">
                  <c:v>#N/A</c:v>
                </c:pt>
                <c:pt idx="4">
                  <c:v>#N/A</c:v>
                </c:pt>
              </c:numCache>
            </c:numRef>
          </c:val>
          <c:extLst>
            <c:ext xmlns:c16="http://schemas.microsoft.com/office/drawing/2014/chart" uri="{C3380CC4-5D6E-409C-BE32-E72D297353CC}">
              <c16:uniqueId val="{00000001-E175-4B62-AEEC-9665B8BAF743}"/>
            </c:ext>
          </c:extLst>
        </c:ser>
        <c:dLbls>
          <c:dLblPos val="ctr"/>
          <c:showLegendKey val="0"/>
          <c:showVal val="1"/>
          <c:showCatName val="0"/>
          <c:showSerName val="0"/>
          <c:showPercent val="0"/>
          <c:showBubbleSize val="0"/>
        </c:dLbls>
        <c:gapWidth val="25"/>
        <c:overlap val="100"/>
        <c:axId val="1525601599"/>
        <c:axId val="1525596799"/>
      </c:barChart>
      <c:catAx>
        <c:axId val="1525601599"/>
        <c:scaling>
          <c:orientation val="maxMin"/>
        </c:scaling>
        <c:delete val="1"/>
        <c:axPos val="l"/>
        <c:numFmt formatCode="General" sourceLinked="1"/>
        <c:majorTickMark val="none"/>
        <c:minorTickMark val="none"/>
        <c:tickLblPos val="nextTo"/>
        <c:crossAx val="1525596799"/>
        <c:crosses val="autoZero"/>
        <c:auto val="1"/>
        <c:lblAlgn val="ctr"/>
        <c:lblOffset val="100"/>
        <c:noMultiLvlLbl val="0"/>
      </c:catAx>
      <c:valAx>
        <c:axId val="1525596799"/>
        <c:scaling>
          <c:orientation val="minMax"/>
        </c:scaling>
        <c:delete val="1"/>
        <c:axPos val="t"/>
        <c:numFmt formatCode="\$#,###.0,\k" sourceLinked="1"/>
        <c:majorTickMark val="out"/>
        <c:minorTickMark val="none"/>
        <c:tickLblPos val="nextTo"/>
        <c:crossAx val="152560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 - 2023 (1).xlsx]Pivot!WeeklyTrend</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C6B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C6B4E"/>
          </a:solidFill>
          <a:ln>
            <a:noFill/>
          </a:ln>
          <a:effectLst/>
        </c:spPr>
      </c:pivotFmt>
    </c:pivotFmts>
    <c:plotArea>
      <c:layout/>
      <c:barChart>
        <c:barDir val="bar"/>
        <c:grouping val="clustered"/>
        <c:varyColors val="0"/>
        <c:ser>
          <c:idx val="0"/>
          <c:order val="0"/>
          <c:tx>
            <c:strRef>
              <c:f>Pivot!$F$16</c:f>
              <c:strCache>
                <c:ptCount val="1"/>
                <c:pt idx="0">
                  <c:v>Total</c:v>
                </c:pt>
              </c:strCache>
            </c:strRef>
          </c:tx>
          <c:spPr>
            <a:solidFill>
              <a:srgbClr val="FC6B4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Pivot!$E$17:$E$24</c:f>
              <c:strCache>
                <c:ptCount val="7"/>
                <c:pt idx="0">
                  <c:v>Monday</c:v>
                </c:pt>
                <c:pt idx="1">
                  <c:v>Tuesday</c:v>
                </c:pt>
                <c:pt idx="2">
                  <c:v>Wednesday</c:v>
                </c:pt>
                <c:pt idx="3">
                  <c:v>Thursday</c:v>
                </c:pt>
                <c:pt idx="4">
                  <c:v>Friday</c:v>
                </c:pt>
                <c:pt idx="5">
                  <c:v>Saturday</c:v>
                </c:pt>
                <c:pt idx="6">
                  <c:v>Sunday</c:v>
                </c:pt>
              </c:strCache>
            </c:strRef>
          </c:cat>
          <c:val>
            <c:numRef>
              <c:f>Pivot!$F$17:$F$24</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EE55-4FAC-8FCC-9F07540868AA}"/>
            </c:ext>
          </c:extLst>
        </c:ser>
        <c:dLbls>
          <c:dLblPos val="outEnd"/>
          <c:showLegendKey val="0"/>
          <c:showVal val="1"/>
          <c:showCatName val="0"/>
          <c:showSerName val="0"/>
          <c:showPercent val="0"/>
          <c:showBubbleSize val="0"/>
        </c:dLbls>
        <c:gapWidth val="25"/>
        <c:axId val="1360802831"/>
        <c:axId val="1360812431"/>
      </c:barChart>
      <c:catAx>
        <c:axId val="1360802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812431"/>
        <c:crosses val="autoZero"/>
        <c:auto val="1"/>
        <c:lblAlgn val="ctr"/>
        <c:lblOffset val="100"/>
        <c:noMultiLvlLbl val="0"/>
      </c:catAx>
      <c:valAx>
        <c:axId val="1360812431"/>
        <c:scaling>
          <c:orientation val="minMax"/>
        </c:scaling>
        <c:delete val="1"/>
        <c:axPos val="b"/>
        <c:numFmt formatCode="#,##0" sourceLinked="1"/>
        <c:majorTickMark val="none"/>
        <c:minorTickMark val="none"/>
        <c:tickLblPos val="nextTo"/>
        <c:crossAx val="136080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 - 2023 (1).xlsx]Pivot!MonthlyTrend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rgbClr val="D72603"/>
                </a:solidFill>
                <a:latin typeface="+mj-lt"/>
              </a:rPr>
              <a:t>Call Trend</a:t>
            </a:r>
          </a:p>
        </c:rich>
      </c:tx>
      <c:layout>
        <c:manualLayout>
          <c:xMode val="edge"/>
          <c:yMode val="edge"/>
          <c:x val="3.0693950177935931E-2"/>
          <c:y val="3.61010830324909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D72603">
                  <a:alpha val="50000"/>
                </a:srgbClr>
              </a:gs>
              <a:gs pos="100000">
                <a:srgbClr val="D72603"/>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72603"/>
            </a:solidFill>
            <a:round/>
          </a:ln>
          <a:effectLst/>
        </c:spPr>
        <c:marker>
          <c:symbol val="diamond"/>
          <c:size val="7"/>
          <c:spPr>
            <a:solidFill>
              <a:schemeClr val="bg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Pivot!$C$16</c:f>
              <c:strCache>
                <c:ptCount val="1"/>
                <c:pt idx="0">
                  <c:v>Calls Count2</c:v>
                </c:pt>
              </c:strCache>
            </c:strRef>
          </c:tx>
          <c:spPr>
            <a:gradFill flip="none" rotWithShape="1">
              <a:gsLst>
                <a:gs pos="0">
                  <a:srgbClr val="D72603">
                    <a:alpha val="50000"/>
                  </a:srgbClr>
                </a:gs>
                <a:gs pos="100000">
                  <a:srgbClr val="D72603"/>
                </a:gs>
              </a:gsLst>
              <a:lin ang="16200000" scaled="1"/>
              <a:tileRect/>
            </a:gradFill>
            <a:ln>
              <a:noFill/>
            </a:ln>
            <a:effectLst/>
          </c:spPr>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Pivot!$C$17:$C$29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D7DD-4915-9C9F-F0B65120DA10}"/>
            </c:ext>
          </c:extLst>
        </c:ser>
        <c:dLbls>
          <c:showLegendKey val="0"/>
          <c:showVal val="0"/>
          <c:showCatName val="0"/>
          <c:showSerName val="0"/>
          <c:showPercent val="0"/>
          <c:showBubbleSize val="0"/>
        </c:dLbls>
        <c:axId val="1360774031"/>
        <c:axId val="1360777391"/>
      </c:areaChart>
      <c:lineChart>
        <c:grouping val="standard"/>
        <c:varyColors val="0"/>
        <c:ser>
          <c:idx val="0"/>
          <c:order val="0"/>
          <c:tx>
            <c:strRef>
              <c:f>Pivot!$B$16</c:f>
              <c:strCache>
                <c:ptCount val="1"/>
                <c:pt idx="0">
                  <c:v>Calls Count</c:v>
                </c:pt>
              </c:strCache>
            </c:strRef>
          </c:tx>
          <c:spPr>
            <a:ln w="28575" cap="rnd">
              <a:solidFill>
                <a:srgbClr val="D72603"/>
              </a:solidFill>
              <a:round/>
            </a:ln>
            <a:effectLst/>
          </c:spPr>
          <c:marker>
            <c:symbol val="diamond"/>
            <c:size val="7"/>
            <c:spPr>
              <a:solidFill>
                <a:schemeClr val="bg1"/>
              </a:solidFill>
              <a:ln w="9525">
                <a:solidFill>
                  <a:srgbClr val="C00000"/>
                </a:solidFill>
              </a:ln>
              <a:effectLst/>
            </c:spPr>
          </c:marker>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Pivot!$B$17:$B$29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D7DD-4915-9C9F-F0B65120DA10}"/>
            </c:ext>
          </c:extLst>
        </c:ser>
        <c:dLbls>
          <c:showLegendKey val="0"/>
          <c:showVal val="0"/>
          <c:showCatName val="0"/>
          <c:showSerName val="0"/>
          <c:showPercent val="0"/>
          <c:showBubbleSize val="0"/>
        </c:dLbls>
        <c:marker val="1"/>
        <c:smooth val="0"/>
        <c:axId val="1360774031"/>
        <c:axId val="1360777391"/>
      </c:lineChart>
      <c:catAx>
        <c:axId val="136077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777391"/>
        <c:crosses val="autoZero"/>
        <c:auto val="1"/>
        <c:lblAlgn val="ctr"/>
        <c:lblOffset val="100"/>
        <c:noMultiLvlLbl val="0"/>
      </c:catAx>
      <c:valAx>
        <c:axId val="1360777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77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rgbClr val="D72603"/>
                </a:solidFill>
                <a:latin typeface="+mj-lt"/>
              </a:rPr>
              <a:t>Calls</a:t>
            </a:r>
          </a:p>
        </c:rich>
      </c:tx>
      <c:layout>
        <c:manualLayout>
          <c:xMode val="edge"/>
          <c:yMode val="edge"/>
          <c:x val="3.5577841451766956E-2"/>
          <c:y val="1.6583747927031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Pivot!$E$42:$E$46</c:f>
              <c:strCache>
                <c:ptCount val="5"/>
                <c:pt idx="0">
                  <c:v>R01</c:v>
                </c:pt>
                <c:pt idx="1">
                  <c:v>R02</c:v>
                </c:pt>
                <c:pt idx="2">
                  <c:v>R03</c:v>
                </c:pt>
                <c:pt idx="3">
                  <c:v>R04</c:v>
                </c:pt>
                <c:pt idx="4">
                  <c:v>R05</c:v>
                </c:pt>
              </c:strCache>
            </c:strRef>
          </c:cat>
          <c:val>
            <c:numRef>
              <c:f>Pivot!$F$42:$F$46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723-4536-8CD4-0AB44AE8867C}"/>
            </c:ext>
          </c:extLst>
        </c:ser>
        <c:ser>
          <c:idx val="1"/>
          <c:order val="1"/>
          <c:tx>
            <c:strRef>
              <c:f>Pivot!$H$41</c:f>
              <c:strCache>
                <c:ptCount val="1"/>
                <c:pt idx="0">
                  <c:v>Sel.Calls</c:v>
                </c:pt>
              </c:strCache>
            </c:strRef>
          </c:tx>
          <c:spPr>
            <a:gradFill>
              <a:gsLst>
                <a:gs pos="0">
                  <a:srgbClr val="9C3F06"/>
                </a:gs>
                <a:gs pos="100000">
                  <a:srgbClr val="FEC0B4"/>
                </a:gs>
              </a:gsLst>
              <a:lin ang="16200000" scaled="1"/>
            </a:gradFill>
            <a:ln>
              <a:noFill/>
            </a:ln>
            <a:effectLst/>
          </c:spPr>
          <c:invertIfNegative val="0"/>
          <c:val>
            <c:numRef>
              <c:f>Pivot!$H$42:$H$46</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9723-4536-8CD4-0AB44AE8867C}"/>
            </c:ext>
          </c:extLst>
        </c:ser>
        <c:dLbls>
          <c:showLegendKey val="0"/>
          <c:showVal val="0"/>
          <c:showCatName val="0"/>
          <c:showSerName val="0"/>
          <c:showPercent val="0"/>
          <c:showBubbleSize val="0"/>
        </c:dLbls>
        <c:gapWidth val="25"/>
        <c:overlap val="100"/>
        <c:axId val="1525601599"/>
        <c:axId val="1525596799"/>
      </c:barChart>
      <c:catAx>
        <c:axId val="15256015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96799"/>
        <c:crosses val="autoZero"/>
        <c:auto val="1"/>
        <c:lblAlgn val="ctr"/>
        <c:lblOffset val="100"/>
        <c:noMultiLvlLbl val="0"/>
      </c:catAx>
      <c:valAx>
        <c:axId val="1525596799"/>
        <c:scaling>
          <c:orientation val="minMax"/>
          <c:min val="0"/>
        </c:scaling>
        <c:delete val="1"/>
        <c:axPos val="t"/>
        <c:numFmt formatCode="General" sourceLinked="1"/>
        <c:majorTickMark val="out"/>
        <c:minorTickMark val="none"/>
        <c:tickLblPos val="nextTo"/>
        <c:crossAx val="152560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 - 2023 (1).xlsx]Pivot!PivotTable1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solidFill>
                  <a:srgbClr val="9C3F06"/>
                </a:solidFill>
                <a:latin typeface="+mj-lt"/>
              </a:rPr>
              <a:t>Female</a:t>
            </a:r>
            <a:r>
              <a:rPr lang="en-IN" sz="1600">
                <a:latin typeface="+mj-lt"/>
              </a:rPr>
              <a:t> Vs </a:t>
            </a:r>
            <a:r>
              <a:rPr lang="en-IN" sz="1600">
                <a:solidFill>
                  <a:srgbClr val="FC6B4E"/>
                </a:solidFill>
                <a:latin typeface="+mj-lt"/>
              </a:rPr>
              <a:t>Male</a:t>
            </a:r>
            <a:r>
              <a:rPr lang="en-IN" sz="1600">
                <a:latin typeface="+mj-lt"/>
              </a:rPr>
              <a:t> Callers</a:t>
            </a:r>
          </a:p>
        </c:rich>
      </c:tx>
      <c:layout>
        <c:manualLayout>
          <c:xMode val="edge"/>
          <c:yMode val="edge"/>
          <c:x val="2.702084653211451E-2"/>
          <c:y val="3.521126760563380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75000"/>
                </a:schemeClr>
              </a:gs>
              <a:gs pos="100000">
                <a:schemeClr val="accent1">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20000"/>
                  <a:lumOff val="80000"/>
                </a:schemeClr>
              </a:gs>
              <a:gs pos="10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Pivot!$E$51:$E$52</c:f>
              <c:strCache>
                <c:ptCount val="1"/>
                <c:pt idx="0">
                  <c:v>Female</c:v>
                </c:pt>
              </c:strCache>
            </c:strRef>
          </c:tx>
          <c:spPr>
            <a:gradFill>
              <a:gsLst>
                <a:gs pos="0">
                  <a:schemeClr val="accent1">
                    <a:lumMod val="75000"/>
                  </a:schemeClr>
                </a:gs>
                <a:gs pos="100000">
                  <a:schemeClr val="accent1">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Pivot!$D$53:$D$56</c:f>
              <c:strCache>
                <c:ptCount val="3"/>
                <c:pt idx="0">
                  <c:v>Cincinnati</c:v>
                </c:pt>
                <c:pt idx="1">
                  <c:v>Cleveland</c:v>
                </c:pt>
                <c:pt idx="2">
                  <c:v>Columbus</c:v>
                </c:pt>
              </c:strCache>
            </c:strRef>
          </c:cat>
          <c:val>
            <c:numRef>
              <c:f>Pivot!$E$53:$E$56</c:f>
              <c:numCache>
                <c:formatCode>#,##0</c:formatCode>
                <c:ptCount val="3"/>
                <c:pt idx="0">
                  <c:v>144</c:v>
                </c:pt>
                <c:pt idx="1">
                  <c:v>326</c:v>
                </c:pt>
                <c:pt idx="2">
                  <c:v>129</c:v>
                </c:pt>
              </c:numCache>
            </c:numRef>
          </c:val>
          <c:extLst>
            <c:ext xmlns:c16="http://schemas.microsoft.com/office/drawing/2014/chart" uri="{C3380CC4-5D6E-409C-BE32-E72D297353CC}">
              <c16:uniqueId val="{00000000-409F-4851-9724-D8E1F34F7BBF}"/>
            </c:ext>
          </c:extLst>
        </c:ser>
        <c:ser>
          <c:idx val="1"/>
          <c:order val="1"/>
          <c:tx>
            <c:strRef>
              <c:f>Pivot!$F$51:$F$52</c:f>
              <c:strCache>
                <c:ptCount val="1"/>
                <c:pt idx="0">
                  <c:v>Male</c:v>
                </c:pt>
              </c:strCache>
            </c:strRef>
          </c:tx>
          <c:spPr>
            <a:gradFill>
              <a:gsLst>
                <a:gs pos="0">
                  <a:schemeClr val="accent6">
                    <a:lumMod val="20000"/>
                    <a:lumOff val="80000"/>
                  </a:schemeClr>
                </a:gs>
                <a:gs pos="10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Pivot!$D$53:$D$56</c:f>
              <c:strCache>
                <c:ptCount val="3"/>
                <c:pt idx="0">
                  <c:v>Cincinnati</c:v>
                </c:pt>
                <c:pt idx="1">
                  <c:v>Cleveland</c:v>
                </c:pt>
                <c:pt idx="2">
                  <c:v>Columbus</c:v>
                </c:pt>
              </c:strCache>
            </c:strRef>
          </c:cat>
          <c:val>
            <c:numRef>
              <c:f>Pivot!$F$53:$F$56</c:f>
              <c:numCache>
                <c:formatCode>#,##0</c:formatCode>
                <c:ptCount val="3"/>
                <c:pt idx="0">
                  <c:v>132</c:v>
                </c:pt>
                <c:pt idx="1">
                  <c:v>63</c:v>
                </c:pt>
                <c:pt idx="2">
                  <c:v>206</c:v>
                </c:pt>
              </c:numCache>
            </c:numRef>
          </c:val>
          <c:extLst>
            <c:ext xmlns:c16="http://schemas.microsoft.com/office/drawing/2014/chart" uri="{C3380CC4-5D6E-409C-BE32-E72D297353CC}">
              <c16:uniqueId val="{00000001-409F-4851-9724-D8E1F34F7BBF}"/>
            </c:ext>
          </c:extLst>
        </c:ser>
        <c:dLbls>
          <c:dLblPos val="ctr"/>
          <c:showLegendKey val="0"/>
          <c:showVal val="1"/>
          <c:showCatName val="0"/>
          <c:showSerName val="0"/>
          <c:showPercent val="0"/>
          <c:showBubbleSize val="0"/>
        </c:dLbls>
        <c:gapWidth val="25"/>
        <c:overlap val="100"/>
        <c:axId val="721387632"/>
        <c:axId val="721388112"/>
      </c:barChart>
      <c:catAx>
        <c:axId val="721387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388112"/>
        <c:crosses val="autoZero"/>
        <c:auto val="1"/>
        <c:lblAlgn val="ctr"/>
        <c:lblOffset val="100"/>
        <c:noMultiLvlLbl val="0"/>
      </c:catAx>
      <c:valAx>
        <c:axId val="721388112"/>
        <c:scaling>
          <c:orientation val="minMax"/>
        </c:scaling>
        <c:delete val="1"/>
        <c:axPos val="l"/>
        <c:numFmt formatCode="0%" sourceLinked="1"/>
        <c:majorTickMark val="out"/>
        <c:minorTickMark val="none"/>
        <c:tickLblPos val="nextTo"/>
        <c:crossAx val="7213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chart" Target="../charts/chart5.xml"/><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60960</xdr:colOff>
      <xdr:row>2</xdr:row>
      <xdr:rowOff>45720</xdr:rowOff>
    </xdr:from>
    <xdr:to>
      <xdr:col>22</xdr:col>
      <xdr:colOff>365760</xdr:colOff>
      <xdr:row>13</xdr:row>
      <xdr:rowOff>144780</xdr:rowOff>
    </xdr:to>
    <xdr:graphicFrame macro="">
      <xdr:nvGraphicFramePr>
        <xdr:cNvPr id="29" name="Chart 28">
          <a:extLst>
            <a:ext uri="{FF2B5EF4-FFF2-40B4-BE49-F238E27FC236}">
              <a16:creationId xmlns:a16="http://schemas.microsoft.com/office/drawing/2014/main" id="{B45BFD36-8F8B-422B-9D08-68244466E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60960</xdr:colOff>
      <xdr:row>16</xdr:row>
      <xdr:rowOff>30480</xdr:rowOff>
    </xdr:from>
    <xdr:to>
      <xdr:col>13</xdr:col>
      <xdr:colOff>601980</xdr:colOff>
      <xdr:row>26</xdr:row>
      <xdr:rowOff>22860</xdr:rowOff>
    </xdr:to>
    <mc:AlternateContent xmlns:mc="http://schemas.openxmlformats.org/markup-compatibility/2006" xmlns:a14="http://schemas.microsoft.com/office/drawing/2010/main">
      <mc:Choice Requires="a14">
        <xdr:graphicFrame macro="">
          <xdr:nvGraphicFramePr>
            <xdr:cNvPr id="22" name="Representative">
              <a:extLst>
                <a:ext uri="{FF2B5EF4-FFF2-40B4-BE49-F238E27FC236}">
                  <a16:creationId xmlns:a16="http://schemas.microsoft.com/office/drawing/2014/main" id="{9468688A-0320-4DE0-B3C1-3AC3C4B0579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246620" y="2956560"/>
              <a:ext cx="121158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175260</xdr:colOff>
      <xdr:row>14</xdr:row>
      <xdr:rowOff>38100</xdr:rowOff>
    </xdr:from>
    <xdr:to>
      <xdr:col>12</xdr:col>
      <xdr:colOff>68580</xdr:colOff>
      <xdr:row>32</xdr:row>
      <xdr:rowOff>38100</xdr:rowOff>
    </xdr:to>
    <xdr:sp macro="" textlink="">
      <xdr:nvSpPr>
        <xdr:cNvPr id="27" name="Rectangle 26">
          <a:extLst>
            <a:ext uri="{FF2B5EF4-FFF2-40B4-BE49-F238E27FC236}">
              <a16:creationId xmlns:a16="http://schemas.microsoft.com/office/drawing/2014/main" id="{10F20D48-6B96-7E18-97DF-F80DF685190F}"/>
            </a:ext>
          </a:extLst>
        </xdr:cNvPr>
        <xdr:cNvSpPr/>
      </xdr:nvSpPr>
      <xdr:spPr>
        <a:xfrm>
          <a:off x="1996440" y="2598420"/>
          <a:ext cx="5257800" cy="32918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80010</xdr:colOff>
      <xdr:row>14</xdr:row>
      <xdr:rowOff>179070</xdr:rowOff>
    </xdr:from>
    <xdr:to>
      <xdr:col>11</xdr:col>
      <xdr:colOff>388620</xdr:colOff>
      <xdr:row>31</xdr:row>
      <xdr:rowOff>129540</xdr:rowOff>
    </xdr:to>
    <xdr:graphicFrame macro="">
      <xdr:nvGraphicFramePr>
        <xdr:cNvPr id="26" name="Chart 25">
          <a:extLst>
            <a:ext uri="{FF2B5EF4-FFF2-40B4-BE49-F238E27FC236}">
              <a16:creationId xmlns:a16="http://schemas.microsoft.com/office/drawing/2014/main" id="{7DCEC770-7DA5-414B-89C9-035435689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518160</xdr:colOff>
      <xdr:row>2</xdr:row>
      <xdr:rowOff>160020</xdr:rowOff>
    </xdr:from>
    <xdr:to>
      <xdr:col>14</xdr:col>
      <xdr:colOff>335280</xdr:colOff>
      <xdr:row>13</xdr:row>
      <xdr:rowOff>160020</xdr:rowOff>
    </xdr:to>
    <xdr:graphicFrame macro="">
      <xdr:nvGraphicFramePr>
        <xdr:cNvPr id="24" name="Chart 23">
          <a:extLst>
            <a:ext uri="{FF2B5EF4-FFF2-40B4-BE49-F238E27FC236}">
              <a16:creationId xmlns:a16="http://schemas.microsoft.com/office/drawing/2014/main" id="{F4A87F37-ED2E-4EEE-9E2F-E362202D4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xdr:colOff>
      <xdr:row>3</xdr:row>
      <xdr:rowOff>7620</xdr:rowOff>
    </xdr:from>
    <xdr:to>
      <xdr:col>4</xdr:col>
      <xdr:colOff>0</xdr:colOff>
      <xdr:row>7</xdr:row>
      <xdr:rowOff>60960</xdr:rowOff>
    </xdr:to>
    <xdr:sp macro="" textlink="Pivot!A4">
      <xdr:nvSpPr>
        <xdr:cNvPr id="2" name="Rectangle 1">
          <a:extLst>
            <a:ext uri="{FF2B5EF4-FFF2-40B4-BE49-F238E27FC236}">
              <a16:creationId xmlns:a16="http://schemas.microsoft.com/office/drawing/2014/main" id="{74C7746C-328E-74D1-7ADB-6B58338EBAAE}"/>
            </a:ext>
          </a:extLst>
        </xdr:cNvPr>
        <xdr:cNvSpPr/>
      </xdr:nvSpPr>
      <xdr:spPr>
        <a:xfrm>
          <a:off x="487680" y="556260"/>
          <a:ext cx="1333500" cy="784860"/>
        </a:xfrm>
        <a:prstGeom prst="rect">
          <a:avLst/>
        </a:prstGeom>
        <a:solidFill>
          <a:srgbClr val="FC6B4E"/>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71E88D-4D0C-4AFF-B26B-6E6F8BB19F35}" type="TxLink">
            <a:rPr lang="en-US" sz="2400" b="0" i="0" u="none" strike="noStrike">
              <a:solidFill>
                <a:schemeClr val="bg1"/>
              </a:solidFill>
              <a:latin typeface="+mj-lt"/>
            </a:rPr>
            <a:pPr algn="ctr"/>
            <a:t>1,000</a:t>
          </a:fld>
          <a:endParaRPr lang="en-IN" sz="2400">
            <a:solidFill>
              <a:schemeClr val="bg1"/>
            </a:solidFill>
            <a:latin typeface="+mj-lt"/>
          </a:endParaRPr>
        </a:p>
      </xdr:txBody>
    </xdr:sp>
    <xdr:clientData/>
  </xdr:twoCellAnchor>
  <xdr:twoCellAnchor>
    <xdr:from>
      <xdr:col>2</xdr:col>
      <xdr:colOff>228600</xdr:colOff>
      <xdr:row>3</xdr:row>
      <xdr:rowOff>53340</xdr:rowOff>
    </xdr:from>
    <xdr:to>
      <xdr:col>3</xdr:col>
      <xdr:colOff>441960</xdr:colOff>
      <xdr:row>4</xdr:row>
      <xdr:rowOff>83820</xdr:rowOff>
    </xdr:to>
    <xdr:sp macro="" textlink="">
      <xdr:nvSpPr>
        <xdr:cNvPr id="3" name="TextBox 2">
          <a:extLst>
            <a:ext uri="{FF2B5EF4-FFF2-40B4-BE49-F238E27FC236}">
              <a16:creationId xmlns:a16="http://schemas.microsoft.com/office/drawing/2014/main" id="{B8C65E61-E748-C450-FC88-2FAC2DD8158A}"/>
            </a:ext>
          </a:extLst>
        </xdr:cNvPr>
        <xdr:cNvSpPr txBox="1"/>
      </xdr:nvSpPr>
      <xdr:spPr>
        <a:xfrm>
          <a:off x="708660" y="601980"/>
          <a:ext cx="8839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Calls</a:t>
          </a:r>
        </a:p>
      </xdr:txBody>
    </xdr:sp>
    <xdr:clientData/>
  </xdr:twoCellAnchor>
  <xdr:twoCellAnchor editAs="oneCell">
    <xdr:from>
      <xdr:col>2</xdr:col>
      <xdr:colOff>144393</xdr:colOff>
      <xdr:row>3</xdr:row>
      <xdr:rowOff>44909</xdr:rowOff>
    </xdr:from>
    <xdr:to>
      <xdr:col>2</xdr:col>
      <xdr:colOff>335519</xdr:colOff>
      <xdr:row>4</xdr:row>
      <xdr:rowOff>48518</xdr:rowOff>
    </xdr:to>
    <xdr:pic>
      <xdr:nvPicPr>
        <xdr:cNvPr id="4" name="Graphic 3" descr="Receiver with solid fill">
          <a:extLst>
            <a:ext uri="{FF2B5EF4-FFF2-40B4-BE49-F238E27FC236}">
              <a16:creationId xmlns:a16="http://schemas.microsoft.com/office/drawing/2014/main" id="{1D753BE0-D727-490B-87C6-5CA415C54EE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812383">
          <a:off x="624453" y="593549"/>
          <a:ext cx="191126" cy="186489"/>
        </a:xfrm>
        <a:prstGeom prst="rect">
          <a:avLst/>
        </a:prstGeom>
      </xdr:spPr>
    </xdr:pic>
    <xdr:clientData/>
  </xdr:twoCellAnchor>
  <xdr:twoCellAnchor>
    <xdr:from>
      <xdr:col>2</xdr:col>
      <xdr:colOff>213360</xdr:colOff>
      <xdr:row>6</xdr:row>
      <xdr:rowOff>38100</xdr:rowOff>
    </xdr:from>
    <xdr:to>
      <xdr:col>3</xdr:col>
      <xdr:colOff>396240</xdr:colOff>
      <xdr:row>7</xdr:row>
      <xdr:rowOff>38100</xdr:rowOff>
    </xdr:to>
    <xdr:sp macro="" textlink="Pivot!A11">
      <xdr:nvSpPr>
        <xdr:cNvPr id="5" name="TextBox 4">
          <a:extLst>
            <a:ext uri="{FF2B5EF4-FFF2-40B4-BE49-F238E27FC236}">
              <a16:creationId xmlns:a16="http://schemas.microsoft.com/office/drawing/2014/main" id="{4EC1712A-5371-3135-9C32-09040F23F8C3}"/>
            </a:ext>
          </a:extLst>
        </xdr:cNvPr>
        <xdr:cNvSpPr txBox="1"/>
      </xdr:nvSpPr>
      <xdr:spPr>
        <a:xfrm>
          <a:off x="693420" y="1135380"/>
          <a:ext cx="8534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528AA-40C1-4403-985C-AD2D73CDCA57}" type="TxLink">
            <a:rPr lang="en-US" sz="1100" b="0" i="0" u="none" strike="noStrike">
              <a:solidFill>
                <a:schemeClr val="bg1">
                  <a:lumMod val="95000"/>
                </a:schemeClr>
              </a:solidFill>
              <a:latin typeface="Aptos"/>
            </a:rPr>
            <a:pPr algn="ctr"/>
            <a:t>189</a:t>
          </a:fld>
          <a:endParaRPr lang="en-IN" sz="1100">
            <a:solidFill>
              <a:schemeClr val="bg1">
                <a:lumMod val="95000"/>
              </a:schemeClr>
            </a:solidFill>
          </a:endParaRPr>
        </a:p>
      </xdr:txBody>
    </xdr:sp>
    <xdr:clientData/>
  </xdr:twoCellAnchor>
  <xdr:twoCellAnchor>
    <xdr:from>
      <xdr:col>2</xdr:col>
      <xdr:colOff>0</xdr:colOff>
      <xdr:row>8</xdr:row>
      <xdr:rowOff>160020</xdr:rowOff>
    </xdr:from>
    <xdr:to>
      <xdr:col>3</xdr:col>
      <xdr:colOff>662940</xdr:colOff>
      <xdr:row>13</xdr:row>
      <xdr:rowOff>30480</xdr:rowOff>
    </xdr:to>
    <xdr:sp macro="" textlink="Pivot!B4">
      <xdr:nvSpPr>
        <xdr:cNvPr id="6" name="Rectangle 5">
          <a:extLst>
            <a:ext uri="{FF2B5EF4-FFF2-40B4-BE49-F238E27FC236}">
              <a16:creationId xmlns:a16="http://schemas.microsoft.com/office/drawing/2014/main" id="{447C80BE-4340-4849-96D5-942EF6F945FD}"/>
            </a:ext>
          </a:extLst>
        </xdr:cNvPr>
        <xdr:cNvSpPr/>
      </xdr:nvSpPr>
      <xdr:spPr>
        <a:xfrm>
          <a:off x="480060" y="1623060"/>
          <a:ext cx="1333500" cy="784860"/>
        </a:xfrm>
        <a:prstGeom prst="rect">
          <a:avLst/>
        </a:prstGeom>
        <a:solidFill>
          <a:srgbClr val="FC6B4E"/>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AEB8E10-DBC9-4D77-BD38-AD1EC30328C1}" type="TxLink">
            <a:rPr lang="en-US" sz="2400" b="0" i="0" u="none" strike="noStrike">
              <a:solidFill>
                <a:schemeClr val="bg1"/>
              </a:solidFill>
              <a:latin typeface="+mj-lt"/>
              <a:ea typeface="+mn-ea"/>
              <a:cs typeface="+mn-cs"/>
            </a:rPr>
            <a:pPr marL="0" indent="0" algn="ctr"/>
            <a:t>₹ 96,623</a:t>
          </a:fld>
          <a:endParaRPr lang="en-IN" sz="2400" b="0" i="0" u="none" strike="noStrike">
            <a:solidFill>
              <a:schemeClr val="bg1"/>
            </a:solidFill>
            <a:latin typeface="+mj-lt"/>
            <a:ea typeface="+mn-ea"/>
            <a:cs typeface="+mn-cs"/>
          </a:endParaRPr>
        </a:p>
      </xdr:txBody>
    </xdr:sp>
    <xdr:clientData/>
  </xdr:twoCellAnchor>
  <xdr:twoCellAnchor>
    <xdr:from>
      <xdr:col>2</xdr:col>
      <xdr:colOff>220980</xdr:colOff>
      <xdr:row>9</xdr:row>
      <xdr:rowOff>22860</xdr:rowOff>
    </xdr:from>
    <xdr:to>
      <xdr:col>3</xdr:col>
      <xdr:colOff>434340</xdr:colOff>
      <xdr:row>10</xdr:row>
      <xdr:rowOff>53340</xdr:rowOff>
    </xdr:to>
    <xdr:sp macro="" textlink="">
      <xdr:nvSpPr>
        <xdr:cNvPr id="7" name="TextBox 6">
          <a:extLst>
            <a:ext uri="{FF2B5EF4-FFF2-40B4-BE49-F238E27FC236}">
              <a16:creationId xmlns:a16="http://schemas.microsoft.com/office/drawing/2014/main" id="{5416F4D0-A2E5-493C-A710-BEB3DC09AB8C}"/>
            </a:ext>
          </a:extLst>
        </xdr:cNvPr>
        <xdr:cNvSpPr txBox="1"/>
      </xdr:nvSpPr>
      <xdr:spPr>
        <a:xfrm>
          <a:off x="701040" y="1668780"/>
          <a:ext cx="8839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Amount</a:t>
          </a:r>
        </a:p>
      </xdr:txBody>
    </xdr:sp>
    <xdr:clientData/>
  </xdr:twoCellAnchor>
  <xdr:twoCellAnchor editAs="oneCell">
    <xdr:from>
      <xdr:col>2</xdr:col>
      <xdr:colOff>139091</xdr:colOff>
      <xdr:row>9</xdr:row>
      <xdr:rowOff>14429</xdr:rowOff>
    </xdr:from>
    <xdr:to>
      <xdr:col>2</xdr:col>
      <xdr:colOff>325580</xdr:colOff>
      <xdr:row>10</xdr:row>
      <xdr:rowOff>18038</xdr:rowOff>
    </xdr:to>
    <xdr:pic>
      <xdr:nvPicPr>
        <xdr:cNvPr id="8" name="Graphic 7">
          <a:extLst>
            <a:ext uri="{FF2B5EF4-FFF2-40B4-BE49-F238E27FC236}">
              <a16:creationId xmlns:a16="http://schemas.microsoft.com/office/drawing/2014/main" id="{3FB2DED3-B276-4F26-BA89-83352099814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619151" y="1660349"/>
          <a:ext cx="186489" cy="186489"/>
        </a:xfrm>
        <a:prstGeom prst="rect">
          <a:avLst/>
        </a:prstGeom>
      </xdr:spPr>
    </xdr:pic>
    <xdr:clientData/>
  </xdr:twoCellAnchor>
  <xdr:twoCellAnchor>
    <xdr:from>
      <xdr:col>2</xdr:col>
      <xdr:colOff>205740</xdr:colOff>
      <xdr:row>12</xdr:row>
      <xdr:rowOff>7620</xdr:rowOff>
    </xdr:from>
    <xdr:to>
      <xdr:col>3</xdr:col>
      <xdr:colOff>388620</xdr:colOff>
      <xdr:row>13</xdr:row>
      <xdr:rowOff>7620</xdr:rowOff>
    </xdr:to>
    <xdr:sp macro="" textlink="Pivot!B11">
      <xdr:nvSpPr>
        <xdr:cNvPr id="9" name="TextBox 8">
          <a:extLst>
            <a:ext uri="{FF2B5EF4-FFF2-40B4-BE49-F238E27FC236}">
              <a16:creationId xmlns:a16="http://schemas.microsoft.com/office/drawing/2014/main" id="{749AB8DD-C1BB-4D83-8C48-B8DE57F66E36}"/>
            </a:ext>
          </a:extLst>
        </xdr:cNvPr>
        <xdr:cNvSpPr txBox="1"/>
      </xdr:nvSpPr>
      <xdr:spPr>
        <a:xfrm>
          <a:off x="685800" y="2202180"/>
          <a:ext cx="8534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AF17F2-B4C1-4D64-AE28-26A90EE73843}" type="TxLink">
            <a:rPr lang="en-US" sz="1100" b="0" i="0" u="none" strike="noStrike">
              <a:solidFill>
                <a:schemeClr val="bg1">
                  <a:lumMod val="95000"/>
                </a:schemeClr>
              </a:solidFill>
              <a:latin typeface="Aptos"/>
              <a:ea typeface="+mn-ea"/>
              <a:cs typeface="+mn-cs"/>
            </a:rPr>
            <a:pPr marL="0" indent="0" algn="ctr"/>
            <a:t>₹ 18,415</a:t>
          </a:fld>
          <a:endParaRPr lang="en-IN" sz="1100" b="0" i="0" u="none" strike="noStrike">
            <a:solidFill>
              <a:schemeClr val="bg1">
                <a:lumMod val="95000"/>
              </a:schemeClr>
            </a:solidFill>
            <a:latin typeface="Aptos"/>
            <a:ea typeface="+mn-ea"/>
            <a:cs typeface="+mn-cs"/>
          </a:endParaRPr>
        </a:p>
      </xdr:txBody>
    </xdr:sp>
    <xdr:clientData/>
  </xdr:twoCellAnchor>
  <xdr:twoCellAnchor>
    <xdr:from>
      <xdr:col>2</xdr:col>
      <xdr:colOff>7620</xdr:colOff>
      <xdr:row>15</xdr:row>
      <xdr:rowOff>7620</xdr:rowOff>
    </xdr:from>
    <xdr:to>
      <xdr:col>4</xdr:col>
      <xdr:colOff>0</xdr:colOff>
      <xdr:row>19</xdr:row>
      <xdr:rowOff>60960</xdr:rowOff>
    </xdr:to>
    <xdr:sp macro="" textlink="Pivot!C4">
      <xdr:nvSpPr>
        <xdr:cNvPr id="10" name="Rectangle 9">
          <a:extLst>
            <a:ext uri="{FF2B5EF4-FFF2-40B4-BE49-F238E27FC236}">
              <a16:creationId xmlns:a16="http://schemas.microsoft.com/office/drawing/2014/main" id="{FA6250C4-BD99-4AD1-85AD-1F30286F28CF}"/>
            </a:ext>
          </a:extLst>
        </xdr:cNvPr>
        <xdr:cNvSpPr/>
      </xdr:nvSpPr>
      <xdr:spPr>
        <a:xfrm>
          <a:off x="487680" y="2750820"/>
          <a:ext cx="1333500" cy="784860"/>
        </a:xfrm>
        <a:prstGeom prst="rect">
          <a:avLst/>
        </a:prstGeom>
        <a:solidFill>
          <a:srgbClr val="FC6B4E"/>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11BF0E1-36A8-492A-8E60-AF94A6B6D773}" type="TxLink">
            <a:rPr lang="en-US" sz="2400" b="0" i="0" u="none" strike="noStrike">
              <a:solidFill>
                <a:schemeClr val="bg1"/>
              </a:solidFill>
              <a:latin typeface="+mj-lt"/>
              <a:ea typeface="+mn-ea"/>
              <a:cs typeface="+mn-cs"/>
            </a:rPr>
            <a:pPr marL="0" indent="0" algn="ctr"/>
            <a:t>89,850</a:t>
          </a:fld>
          <a:endParaRPr lang="en-IN" sz="2400" b="0" i="0" u="none" strike="noStrike">
            <a:solidFill>
              <a:schemeClr val="bg1"/>
            </a:solidFill>
            <a:latin typeface="+mj-lt"/>
            <a:ea typeface="+mn-ea"/>
            <a:cs typeface="+mn-cs"/>
          </a:endParaRPr>
        </a:p>
      </xdr:txBody>
    </xdr:sp>
    <xdr:clientData/>
  </xdr:twoCellAnchor>
  <xdr:twoCellAnchor>
    <xdr:from>
      <xdr:col>2</xdr:col>
      <xdr:colOff>228600</xdr:colOff>
      <xdr:row>15</xdr:row>
      <xdr:rowOff>53340</xdr:rowOff>
    </xdr:from>
    <xdr:to>
      <xdr:col>3</xdr:col>
      <xdr:colOff>441960</xdr:colOff>
      <xdr:row>16</xdr:row>
      <xdr:rowOff>83820</xdr:rowOff>
    </xdr:to>
    <xdr:sp macro="" textlink="">
      <xdr:nvSpPr>
        <xdr:cNvPr id="11" name="TextBox 10">
          <a:extLst>
            <a:ext uri="{FF2B5EF4-FFF2-40B4-BE49-F238E27FC236}">
              <a16:creationId xmlns:a16="http://schemas.microsoft.com/office/drawing/2014/main" id="{9B44112F-BD8B-44C9-AFE3-B6D98D3C1FC5}"/>
            </a:ext>
          </a:extLst>
        </xdr:cNvPr>
        <xdr:cNvSpPr txBox="1"/>
      </xdr:nvSpPr>
      <xdr:spPr>
        <a:xfrm>
          <a:off x="708660" y="2796540"/>
          <a:ext cx="8839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Duration</a:t>
          </a:r>
        </a:p>
      </xdr:txBody>
    </xdr:sp>
    <xdr:clientData/>
  </xdr:twoCellAnchor>
  <xdr:twoCellAnchor editAs="oneCell">
    <xdr:from>
      <xdr:col>2</xdr:col>
      <xdr:colOff>146711</xdr:colOff>
      <xdr:row>15</xdr:row>
      <xdr:rowOff>44909</xdr:rowOff>
    </xdr:from>
    <xdr:to>
      <xdr:col>2</xdr:col>
      <xdr:colOff>333200</xdr:colOff>
      <xdr:row>16</xdr:row>
      <xdr:rowOff>48518</xdr:rowOff>
    </xdr:to>
    <xdr:pic>
      <xdr:nvPicPr>
        <xdr:cNvPr id="12" name="Graphic 11">
          <a:extLst>
            <a:ext uri="{FF2B5EF4-FFF2-40B4-BE49-F238E27FC236}">
              <a16:creationId xmlns:a16="http://schemas.microsoft.com/office/drawing/2014/main" id="{51EE2385-6527-484F-8CEA-B621FFC1AE9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626771" y="2788109"/>
          <a:ext cx="186489" cy="186489"/>
        </a:xfrm>
        <a:prstGeom prst="rect">
          <a:avLst/>
        </a:prstGeom>
      </xdr:spPr>
    </xdr:pic>
    <xdr:clientData/>
  </xdr:twoCellAnchor>
  <xdr:twoCellAnchor>
    <xdr:from>
      <xdr:col>2</xdr:col>
      <xdr:colOff>213360</xdr:colOff>
      <xdr:row>18</xdr:row>
      <xdr:rowOff>38100</xdr:rowOff>
    </xdr:from>
    <xdr:to>
      <xdr:col>3</xdr:col>
      <xdr:colOff>396240</xdr:colOff>
      <xdr:row>19</xdr:row>
      <xdr:rowOff>38100</xdr:rowOff>
    </xdr:to>
    <xdr:sp macro="" textlink="Pivot!C11">
      <xdr:nvSpPr>
        <xdr:cNvPr id="13" name="TextBox 12">
          <a:extLst>
            <a:ext uri="{FF2B5EF4-FFF2-40B4-BE49-F238E27FC236}">
              <a16:creationId xmlns:a16="http://schemas.microsoft.com/office/drawing/2014/main" id="{E5F431E0-ED4E-40EB-90FA-BD0ADFDE2DD0}"/>
            </a:ext>
          </a:extLst>
        </xdr:cNvPr>
        <xdr:cNvSpPr txBox="1"/>
      </xdr:nvSpPr>
      <xdr:spPr>
        <a:xfrm>
          <a:off x="693420" y="3329940"/>
          <a:ext cx="8534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634C8D-1C14-4F87-9122-343A701F72A8}" type="TxLink">
            <a:rPr lang="en-US" sz="1100" b="0" i="0" u="none" strike="noStrike">
              <a:solidFill>
                <a:schemeClr val="bg1">
                  <a:lumMod val="95000"/>
                </a:schemeClr>
              </a:solidFill>
              <a:latin typeface="Aptos"/>
              <a:ea typeface="+mn-ea"/>
              <a:cs typeface="+mn-cs"/>
            </a:rPr>
            <a:pPr marL="0" indent="0" algn="ctr"/>
            <a:t>16,834</a:t>
          </a:fld>
          <a:endParaRPr lang="en-IN" sz="1100" b="0" i="0" u="none" strike="noStrike">
            <a:solidFill>
              <a:schemeClr val="bg1">
                <a:lumMod val="95000"/>
              </a:schemeClr>
            </a:solidFill>
            <a:latin typeface="Aptos"/>
            <a:ea typeface="+mn-ea"/>
            <a:cs typeface="+mn-cs"/>
          </a:endParaRPr>
        </a:p>
      </xdr:txBody>
    </xdr:sp>
    <xdr:clientData/>
  </xdr:twoCellAnchor>
  <xdr:twoCellAnchor>
    <xdr:from>
      <xdr:col>2</xdr:col>
      <xdr:colOff>15240</xdr:colOff>
      <xdr:row>21</xdr:row>
      <xdr:rowOff>45720</xdr:rowOff>
    </xdr:from>
    <xdr:to>
      <xdr:col>4</xdr:col>
      <xdr:colOff>7620</xdr:colOff>
      <xdr:row>25</xdr:row>
      <xdr:rowOff>99060</xdr:rowOff>
    </xdr:to>
    <xdr:sp macro="" textlink="Pivot!D4">
      <xdr:nvSpPr>
        <xdr:cNvPr id="14" name="Rectangle 13">
          <a:extLst>
            <a:ext uri="{FF2B5EF4-FFF2-40B4-BE49-F238E27FC236}">
              <a16:creationId xmlns:a16="http://schemas.microsoft.com/office/drawing/2014/main" id="{339B01DB-8454-4C72-A934-1A32C01E737A}"/>
            </a:ext>
          </a:extLst>
        </xdr:cNvPr>
        <xdr:cNvSpPr/>
      </xdr:nvSpPr>
      <xdr:spPr>
        <a:xfrm>
          <a:off x="495300" y="3886200"/>
          <a:ext cx="1333500" cy="784860"/>
        </a:xfrm>
        <a:prstGeom prst="rect">
          <a:avLst/>
        </a:prstGeom>
        <a:solidFill>
          <a:srgbClr val="FC6B4E"/>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2773181-2FCA-4252-9A9D-74115E43B2AD}" type="TxLink">
            <a:rPr lang="en-US" sz="2400" b="0" i="0" u="none" strike="noStrike">
              <a:solidFill>
                <a:schemeClr val="bg1"/>
              </a:solidFill>
              <a:latin typeface="+mj-lt"/>
              <a:ea typeface="+mn-ea"/>
              <a:cs typeface="+mn-cs"/>
            </a:rPr>
            <a:pPr marL="0" indent="0" algn="ctr"/>
            <a:t>3.9</a:t>
          </a:fld>
          <a:endParaRPr lang="en-IN" sz="2400" b="0" i="0" u="none" strike="noStrike">
            <a:solidFill>
              <a:schemeClr val="bg1"/>
            </a:solidFill>
            <a:latin typeface="+mj-lt"/>
            <a:ea typeface="+mn-ea"/>
            <a:cs typeface="+mn-cs"/>
          </a:endParaRPr>
        </a:p>
      </xdr:txBody>
    </xdr:sp>
    <xdr:clientData/>
  </xdr:twoCellAnchor>
  <xdr:twoCellAnchor>
    <xdr:from>
      <xdr:col>2</xdr:col>
      <xdr:colOff>236220</xdr:colOff>
      <xdr:row>21</xdr:row>
      <xdr:rowOff>91440</xdr:rowOff>
    </xdr:from>
    <xdr:to>
      <xdr:col>3</xdr:col>
      <xdr:colOff>449580</xdr:colOff>
      <xdr:row>22</xdr:row>
      <xdr:rowOff>121920</xdr:rowOff>
    </xdr:to>
    <xdr:sp macro="" textlink="">
      <xdr:nvSpPr>
        <xdr:cNvPr id="15" name="TextBox 14">
          <a:extLst>
            <a:ext uri="{FF2B5EF4-FFF2-40B4-BE49-F238E27FC236}">
              <a16:creationId xmlns:a16="http://schemas.microsoft.com/office/drawing/2014/main" id="{03D58E31-F0EF-4E25-AC3B-744DA2FB44BD}"/>
            </a:ext>
          </a:extLst>
        </xdr:cNvPr>
        <xdr:cNvSpPr txBox="1"/>
      </xdr:nvSpPr>
      <xdr:spPr>
        <a:xfrm>
          <a:off x="716280" y="3931920"/>
          <a:ext cx="8839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Rating</a:t>
          </a:r>
        </a:p>
      </xdr:txBody>
    </xdr:sp>
    <xdr:clientData/>
  </xdr:twoCellAnchor>
  <xdr:twoCellAnchor editAs="oneCell">
    <xdr:from>
      <xdr:col>2</xdr:col>
      <xdr:colOff>154331</xdr:colOff>
      <xdr:row>21</xdr:row>
      <xdr:rowOff>83009</xdr:rowOff>
    </xdr:from>
    <xdr:to>
      <xdr:col>2</xdr:col>
      <xdr:colOff>340820</xdr:colOff>
      <xdr:row>22</xdr:row>
      <xdr:rowOff>86618</xdr:rowOff>
    </xdr:to>
    <xdr:pic>
      <xdr:nvPicPr>
        <xdr:cNvPr id="16" name="Graphic 15">
          <a:extLst>
            <a:ext uri="{FF2B5EF4-FFF2-40B4-BE49-F238E27FC236}">
              <a16:creationId xmlns:a16="http://schemas.microsoft.com/office/drawing/2014/main" id="{7CC821BF-FE7B-4496-AD6F-A6BF5475FE1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634391" y="3923489"/>
          <a:ext cx="186489" cy="186489"/>
        </a:xfrm>
        <a:prstGeom prst="rect">
          <a:avLst/>
        </a:prstGeom>
      </xdr:spPr>
    </xdr:pic>
    <xdr:clientData/>
  </xdr:twoCellAnchor>
  <xdr:twoCellAnchor>
    <xdr:from>
      <xdr:col>2</xdr:col>
      <xdr:colOff>220980</xdr:colOff>
      <xdr:row>24</xdr:row>
      <xdr:rowOff>76200</xdr:rowOff>
    </xdr:from>
    <xdr:to>
      <xdr:col>3</xdr:col>
      <xdr:colOff>403860</xdr:colOff>
      <xdr:row>25</xdr:row>
      <xdr:rowOff>76200</xdr:rowOff>
    </xdr:to>
    <xdr:sp macro="" textlink="Pivot!D11">
      <xdr:nvSpPr>
        <xdr:cNvPr id="17" name="TextBox 16">
          <a:extLst>
            <a:ext uri="{FF2B5EF4-FFF2-40B4-BE49-F238E27FC236}">
              <a16:creationId xmlns:a16="http://schemas.microsoft.com/office/drawing/2014/main" id="{31B99C43-5F17-4626-B986-FEABD1670DF7}"/>
            </a:ext>
          </a:extLst>
        </xdr:cNvPr>
        <xdr:cNvSpPr txBox="1"/>
      </xdr:nvSpPr>
      <xdr:spPr>
        <a:xfrm>
          <a:off x="701040" y="4465320"/>
          <a:ext cx="8534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76D468-88B7-456D-8C96-B387FCC3247A}" type="TxLink">
            <a:rPr lang="en-US" sz="1100" b="0" i="0" u="none" strike="noStrike">
              <a:solidFill>
                <a:schemeClr val="bg1">
                  <a:lumMod val="95000"/>
                </a:schemeClr>
              </a:solidFill>
              <a:latin typeface="Aptos"/>
              <a:ea typeface="+mn-ea"/>
              <a:cs typeface="+mn-cs"/>
            </a:rPr>
            <a:pPr marL="0" indent="0" algn="ctr"/>
            <a:t>3.9</a:t>
          </a:fld>
          <a:endParaRPr lang="en-IN" sz="1100" b="0" i="0" u="none" strike="noStrike">
            <a:solidFill>
              <a:schemeClr val="bg1">
                <a:lumMod val="95000"/>
              </a:schemeClr>
            </a:solidFill>
            <a:latin typeface="Aptos"/>
            <a:ea typeface="+mn-ea"/>
            <a:cs typeface="+mn-cs"/>
          </a:endParaRPr>
        </a:p>
      </xdr:txBody>
    </xdr:sp>
    <xdr:clientData/>
  </xdr:twoCellAnchor>
  <xdr:twoCellAnchor>
    <xdr:from>
      <xdr:col>2</xdr:col>
      <xdr:colOff>22860</xdr:colOff>
      <xdr:row>27</xdr:row>
      <xdr:rowOff>91440</xdr:rowOff>
    </xdr:from>
    <xdr:to>
      <xdr:col>4</xdr:col>
      <xdr:colOff>15240</xdr:colOff>
      <xdr:row>31</xdr:row>
      <xdr:rowOff>144780</xdr:rowOff>
    </xdr:to>
    <xdr:sp macro="" textlink="Pivot!E4">
      <xdr:nvSpPr>
        <xdr:cNvPr id="18" name="Rectangle 17">
          <a:extLst>
            <a:ext uri="{FF2B5EF4-FFF2-40B4-BE49-F238E27FC236}">
              <a16:creationId xmlns:a16="http://schemas.microsoft.com/office/drawing/2014/main" id="{1BDF0303-2528-43FF-AA94-644EF63993E0}"/>
            </a:ext>
          </a:extLst>
        </xdr:cNvPr>
        <xdr:cNvSpPr/>
      </xdr:nvSpPr>
      <xdr:spPr>
        <a:xfrm>
          <a:off x="502920" y="5029200"/>
          <a:ext cx="1333500" cy="784860"/>
        </a:xfrm>
        <a:prstGeom prst="rect">
          <a:avLst/>
        </a:prstGeom>
        <a:solidFill>
          <a:srgbClr val="FC6B4E"/>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CC4394C-77E2-4128-AF8D-0E35C6784A10}" type="TxLink">
            <a:rPr lang="en-US" sz="2400" b="0" i="0" u="none" strike="noStrike">
              <a:solidFill>
                <a:schemeClr val="bg1"/>
              </a:solidFill>
              <a:latin typeface="+mj-lt"/>
              <a:ea typeface="+mn-ea"/>
              <a:cs typeface="+mn-cs"/>
            </a:rPr>
            <a:pPr marL="0" indent="0" algn="ctr"/>
            <a:t>307</a:t>
          </a:fld>
          <a:endParaRPr lang="en-IN" sz="2400" b="0" i="0" u="none" strike="noStrike">
            <a:solidFill>
              <a:schemeClr val="bg1"/>
            </a:solidFill>
            <a:latin typeface="+mj-lt"/>
            <a:ea typeface="+mn-ea"/>
            <a:cs typeface="+mn-cs"/>
          </a:endParaRPr>
        </a:p>
      </xdr:txBody>
    </xdr:sp>
    <xdr:clientData/>
  </xdr:twoCellAnchor>
  <xdr:twoCellAnchor>
    <xdr:from>
      <xdr:col>2</xdr:col>
      <xdr:colOff>243840</xdr:colOff>
      <xdr:row>27</xdr:row>
      <xdr:rowOff>137160</xdr:rowOff>
    </xdr:from>
    <xdr:to>
      <xdr:col>3</xdr:col>
      <xdr:colOff>457200</xdr:colOff>
      <xdr:row>28</xdr:row>
      <xdr:rowOff>167640</xdr:rowOff>
    </xdr:to>
    <xdr:sp macro="" textlink="">
      <xdr:nvSpPr>
        <xdr:cNvPr id="19" name="TextBox 18">
          <a:extLst>
            <a:ext uri="{FF2B5EF4-FFF2-40B4-BE49-F238E27FC236}">
              <a16:creationId xmlns:a16="http://schemas.microsoft.com/office/drawing/2014/main" id="{D08D06B8-84D6-4CBB-AA77-AED99D068C42}"/>
            </a:ext>
          </a:extLst>
        </xdr:cNvPr>
        <xdr:cNvSpPr txBox="1"/>
      </xdr:nvSpPr>
      <xdr:spPr>
        <a:xfrm>
          <a:off x="723900" y="5074920"/>
          <a:ext cx="8839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j-lt"/>
            </a:rPr>
            <a:t>5*Calls</a:t>
          </a:r>
        </a:p>
      </xdr:txBody>
    </xdr:sp>
    <xdr:clientData/>
  </xdr:twoCellAnchor>
  <xdr:twoCellAnchor editAs="oneCell">
    <xdr:from>
      <xdr:col>2</xdr:col>
      <xdr:colOff>161951</xdr:colOff>
      <xdr:row>27</xdr:row>
      <xdr:rowOff>128729</xdr:rowOff>
    </xdr:from>
    <xdr:to>
      <xdr:col>2</xdr:col>
      <xdr:colOff>348440</xdr:colOff>
      <xdr:row>28</xdr:row>
      <xdr:rowOff>86618</xdr:rowOff>
    </xdr:to>
    <xdr:pic>
      <xdr:nvPicPr>
        <xdr:cNvPr id="20" name="Graphic 19">
          <a:extLst>
            <a:ext uri="{FF2B5EF4-FFF2-40B4-BE49-F238E27FC236}">
              <a16:creationId xmlns:a16="http://schemas.microsoft.com/office/drawing/2014/main" id="{49F87ECA-D6EB-4057-A221-C0DF36D3006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642011" y="5066489"/>
          <a:ext cx="186489" cy="186489"/>
        </a:xfrm>
        <a:prstGeom prst="rect">
          <a:avLst/>
        </a:prstGeom>
      </xdr:spPr>
    </xdr:pic>
    <xdr:clientData/>
  </xdr:twoCellAnchor>
  <xdr:twoCellAnchor>
    <xdr:from>
      <xdr:col>2</xdr:col>
      <xdr:colOff>228600</xdr:colOff>
      <xdr:row>30</xdr:row>
      <xdr:rowOff>121920</xdr:rowOff>
    </xdr:from>
    <xdr:to>
      <xdr:col>3</xdr:col>
      <xdr:colOff>411480</xdr:colOff>
      <xdr:row>31</xdr:row>
      <xdr:rowOff>121920</xdr:rowOff>
    </xdr:to>
    <xdr:sp macro="" textlink="Pivot!E11">
      <xdr:nvSpPr>
        <xdr:cNvPr id="21" name="TextBox 20">
          <a:extLst>
            <a:ext uri="{FF2B5EF4-FFF2-40B4-BE49-F238E27FC236}">
              <a16:creationId xmlns:a16="http://schemas.microsoft.com/office/drawing/2014/main" id="{72361FB3-6383-440B-A75B-EA076D5CA95C}"/>
            </a:ext>
          </a:extLst>
        </xdr:cNvPr>
        <xdr:cNvSpPr txBox="1"/>
      </xdr:nvSpPr>
      <xdr:spPr>
        <a:xfrm>
          <a:off x="708660" y="5608320"/>
          <a:ext cx="8534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7B517F-1710-4C2B-8C4C-E1BFAA938F62}" type="TxLink">
            <a:rPr lang="en-US" sz="1100" b="0" i="0" u="none" strike="noStrike">
              <a:solidFill>
                <a:schemeClr val="bg1">
                  <a:lumMod val="95000"/>
                </a:schemeClr>
              </a:solidFill>
              <a:latin typeface="Aptos"/>
              <a:ea typeface="+mn-ea"/>
              <a:cs typeface="+mn-cs"/>
            </a:rPr>
            <a:pPr marL="0" indent="0" algn="ctr"/>
            <a:t>60</a:t>
          </a:fld>
          <a:endParaRPr lang="en-IN" sz="1100" b="0" i="0" u="none" strike="noStrike">
            <a:solidFill>
              <a:schemeClr val="bg1">
                <a:lumMod val="95000"/>
              </a:schemeClr>
            </a:solidFill>
            <a:latin typeface="Aptos"/>
            <a:ea typeface="+mn-ea"/>
            <a:cs typeface="+mn-cs"/>
          </a:endParaRPr>
        </a:p>
      </xdr:txBody>
    </xdr:sp>
    <xdr:clientData/>
  </xdr:twoCellAnchor>
  <xdr:twoCellAnchor>
    <xdr:from>
      <xdr:col>4</xdr:col>
      <xdr:colOff>327660</xdr:colOff>
      <xdr:row>2</xdr:row>
      <xdr:rowOff>99060</xdr:rowOff>
    </xdr:from>
    <xdr:to>
      <xdr:col>10</xdr:col>
      <xdr:colOff>586740</xdr:colOff>
      <xdr:row>14</xdr:row>
      <xdr:rowOff>15240</xdr:rowOff>
    </xdr:to>
    <xdr:graphicFrame macro="">
      <xdr:nvGraphicFramePr>
        <xdr:cNvPr id="23" name="Chart 22">
          <a:extLst>
            <a:ext uri="{FF2B5EF4-FFF2-40B4-BE49-F238E27FC236}">
              <a16:creationId xmlns:a16="http://schemas.microsoft.com/office/drawing/2014/main" id="{02EC8246-A962-4B0E-B181-DF39F05E0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304800</xdr:colOff>
      <xdr:row>15</xdr:row>
      <xdr:rowOff>0</xdr:rowOff>
    </xdr:from>
    <xdr:to>
      <xdr:col>8</xdr:col>
      <xdr:colOff>281940</xdr:colOff>
      <xdr:row>31</xdr:row>
      <xdr:rowOff>137160</xdr:rowOff>
    </xdr:to>
    <xdr:graphicFrame macro="">
      <xdr:nvGraphicFramePr>
        <xdr:cNvPr id="25" name="Chart 24">
          <a:extLst>
            <a:ext uri="{FF2B5EF4-FFF2-40B4-BE49-F238E27FC236}">
              <a16:creationId xmlns:a16="http://schemas.microsoft.com/office/drawing/2014/main" id="{88F807FC-35F1-44ED-962A-9B59BAC08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601980</xdr:colOff>
      <xdr:row>2</xdr:row>
      <xdr:rowOff>38100</xdr:rowOff>
    </xdr:from>
    <xdr:to>
      <xdr:col>19</xdr:col>
      <xdr:colOff>175260</xdr:colOff>
      <xdr:row>14</xdr:row>
      <xdr:rowOff>0</xdr:rowOff>
    </xdr:to>
    <xdr:graphicFrame macro="">
      <xdr:nvGraphicFramePr>
        <xdr:cNvPr id="28" name="Chart 27">
          <a:extLst>
            <a:ext uri="{FF2B5EF4-FFF2-40B4-BE49-F238E27FC236}">
              <a16:creationId xmlns:a16="http://schemas.microsoft.com/office/drawing/2014/main" id="{1F6E5722-A65B-4968-BC07-0D98B587A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BHALME" refreshedDate="45766.818059259262" backgroundQuery="1" createdVersion="8" refreshedVersion="8" minRefreshableVersion="3" recordCount="0" supportSubquery="1" supportAdvancedDrill="1" xr:uid="{1C3D12E2-0496-48E3-B4EC-855B4DA2F3F2}">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s Count]" caption="Calls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BHALME" refreshedDate="45765.598887615743" backgroundQuery="1" createdVersion="8" refreshedVersion="8" minRefreshableVersion="3" recordCount="0" supportSubquery="1" supportAdvancedDrill="1" xr:uid="{97FF25A3-1791-4E49-93D5-3BAFEF9F44DD}">
  <cacheSource type="external" connectionId="1"/>
  <cacheFields count="3">
    <cacheField name="[calls].[Representative].[Representative]" caption="Representative" numFmtId="0" hierarchy="3" level="1">
      <sharedItems count="5">
        <s v="R01"/>
        <s v="R02"/>
        <s v="R03"/>
        <s v="R04"/>
        <s v="R05"/>
      </sharedItems>
    </cacheField>
    <cacheField name="[Measures].[Calls Count]" caption="Calls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BHALME" refreshedDate="45765.533100231478" backgroundQuery="1" createdVersion="8" refreshedVersion="8" minRefreshableVersion="3" recordCount="0" supportSubquery="1" supportAdvancedDrill="1" xr:uid="{567FF5F3-7D5A-482A-827B-0B7473438B30}">
  <cacheSource type="external" connectionId="1"/>
  <cacheFields count="5">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BHALME" refreshedDate="45766.831389583334" backgroundQuery="1" createdVersion="8" refreshedVersion="8" minRefreshableVersion="3" recordCount="0" supportSubquery="1" supportAdvancedDrill="1" xr:uid="{9E358F5A-7D26-472E-B100-5DF47361C490}">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l Mugul" refreshedDate="46291.671271643521" backgroundQuery="1" createdVersion="8" refreshedVersion="8" minRefreshableVersion="3" recordCount="0" supportSubquery="1" supportAdvancedDrill="1" xr:uid="{CDF2608F-5B53-409D-9585-D34BA0B45F11}">
  <cacheSource type="external" connectionId="1"/>
  <cacheFields count="6">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l Mugul" refreshedDate="46291.671272337961" backgroundQuery="1" createdVersion="8" refreshedVersion="8" minRefreshableVersion="3" recordCount="0" supportSubquery="1" supportAdvancedDrill="1" xr:uid="{C1C17C78-0245-436D-8906-8DCD2D2AF5E2}">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s Count]" caption="Calls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l Mugul" refreshedDate="46291.671272800922" backgroundQuery="1" createdVersion="8" refreshedVersion="8" minRefreshableVersion="3" recordCount="0" supportSubquery="1" supportAdvancedDrill="1" xr:uid="{8AB33D10-BF25-47DC-AF21-5DED361241FF}">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l Mugul" refreshedDate="46291.671273148146" backgroundQuery="1" createdVersion="8" refreshedVersion="8" minRefreshableVersion="3" recordCount="0" supportSubquery="1" supportAdvancedDrill="1" xr:uid="{F6FFB159-7C28-4DF4-8AAB-F1E20791D5B4}">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l Mugul" refreshedDate="46291.671273611108" backgroundQuery="1" createdVersion="8" refreshedVersion="8" minRefreshableVersion="3" recordCount="0" supportSubquery="1" supportAdvancedDrill="1" xr:uid="{3CC39D24-C1AC-439D-8496-85A8F619D8E1}">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s Count]" caption="Calls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BHALME" refreshedDate="45765.533094791666" backgroundQuery="1" createdVersion="3" refreshedVersion="8" minRefreshableVersion="3" recordCount="0" supportSubquery="1" supportAdvancedDrill="1" xr:uid="{8579D05E-4F4F-4373-A3D6-05B30942667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48056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BA5E3-2142-485F-A1A1-5D33B49FF875}" name="Rep Satisfaction" cacheId="4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D60:E66"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9B202F-17DD-4E04-AABE-BCA5EE5FD628}" name="RepPivot" cacheId="28"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10:E11"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F7B1D3-F36F-42F1-8A73-87EC14C3E212}" name="RepsPivot"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1:C47"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92EB8C-FF32-4890-882A-6598E4005915}" name="WeeklyTrend" cacheId="34"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7">
  <location ref="E16:F24" firstHeaderRow="1" firstDataRow="1" firstDataCol="1"/>
  <pivotFields count="3">
    <pivotField allDrilled="1" showAll="0" dataSourceSort="1" defaultAttributeDrillState="1"/>
    <pivotField axis="axisRow" allDrilled="1" showAll="0" sortType="ascending" defaultAttributeDrillState="1">
      <items count="8">
        <item x="1"/>
        <item x="5"/>
        <item x="6"/>
        <item x="4"/>
        <item x="0"/>
        <item x="2"/>
        <item x="3"/>
        <item t="default"/>
      </items>
    </pivotField>
    <pivotField dataField="1" showAl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 count="1" selected="0">
            <x v="6"/>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502774-058E-4F85-9F31-984E1D0F98E3}"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D51:G56"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DB2978-B4DA-4177-8F95-7AD0FBAFC743}" name="MonthlyTrend" cacheId="31"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9">
  <location ref="A16:C29" firstHeaderRow="0" firstDataRow="1" firstDataCol="1"/>
  <pivotFields count="5">
    <pivotField allDrilled="1" showAll="0" dataSourceSort="1" defaultAttributeDrillState="1"/>
    <pivotField axis="axisRow" allDrilled="1" showAll="0" dataSourceSort="1" defaultAttributeDrillState="1">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s Count2" fld="4" subtotal="count" baseField="0" baseItem="0">
      <extLst>
        <ext xmlns:x14="http://schemas.microsoft.com/office/spreadsheetml/2009/9/main" uri="{E15A36E0-9728-4e99-A89B-3F7291B0FE68}">
          <x14:dataField sourceField="3" uniqueName="[__Xl2].[Measures].[Calls Count]"/>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A06497-7610-4FE8-BBBA-2ABE81817DEA}" name="SummaryPivot" cacheId="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578349-DD7F-46E1-975A-BD93D8D2F345}" name="Selected Rep" cacheId="3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location ref="A51:A52" firstHeaderRow="1" firstDataRow="1" firstDataCol="1"/>
  <pivotFields count="1">
    <pivotField axis="axisRow" allDrilled="1" showAll="0" dataSourceSort="1" defaultAttributeDrillState="1">
      <items count="2">
        <item s="1" x="0"/>
        <item t="default"/>
      </items>
    </pivotField>
  </pivotFields>
  <rowFields count="1">
    <field x="0"/>
  </rowFields>
  <rowItems count="1">
    <i>
      <x/>
    </i>
  </rowItems>
  <formats count="1">
    <format dxfId="17">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3C2616-AE4B-4AD5-84EE-10CEBA503D47}" name="Rep Amount" cacheId="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74:G93" firstHeaderRow="1" firstDataRow="2" firstDataCol="1"/>
  <pivotFields count="4">
    <pivotField axis="axisRow" allDrilled="1" showAll="0" dataSourceSort="1" defaultSubtotal="0" defaultAttributeDrillState="1">
      <items count="3">
        <item x="0"/>
        <item x="1"/>
        <item x="2"/>
      </items>
    </pivotField>
    <pivotField axis="axisRow" allDrilled="1" showAll="0" dataSourceSort="1" defaultSubtotal="0" defaultAttributeDrillState="1">
      <items count="15">
        <item x="0"/>
        <item x="1"/>
        <item x="2"/>
        <item x="3"/>
        <item x="4"/>
        <item x="5"/>
        <item x="6"/>
        <item x="7"/>
        <item x="8"/>
        <item x="9"/>
        <item x="10"/>
        <item x="11"/>
        <item x="12"/>
        <item x="13"/>
        <item x="14"/>
      </items>
    </pivotField>
    <pivotField dataField="1" showAll="0"/>
    <pivotField axis="axisCol" allDrilled="1" showAll="0" dataSourceSort="1" defaultSubtotal="0" defaultAttributeDrillState="1">
      <items count="5">
        <item x="0"/>
        <item x="1"/>
        <item x="2"/>
        <item x="3"/>
        <item x="4"/>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BFFAF16-B31E-4C11-85E2-C4D553BBDF99}" sourceName="[calls].[Representative]">
  <pivotTables>
    <pivotTable tabId="6" name="RepPivot"/>
    <pivotTable tabId="6" name="MonthlyTrend"/>
    <pivotTable tabId="6" name="WeeklyTrend"/>
    <pivotTable tabId="6" name="Selected Rep"/>
    <pivotTable tabId="6" name="Rep Satisfaction"/>
  </pivotTables>
  <data>
    <olap pivotCacheId="57480566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F0F6EB0-113F-4DE0-BF0C-DEF300CFBBC8}" cache="Slicer_Representative" caption="Representative" level="1"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DE04-6824-4FB7-98D9-AF8CE67FCE1C}">
  <dimension ref="A3:I93"/>
  <sheetViews>
    <sheetView workbookViewId="0"/>
  </sheetViews>
  <sheetFormatPr defaultRowHeight="14.5" x14ac:dyDescent="0.35"/>
  <cols>
    <col min="1" max="1" width="12.33203125" bestFit="1" customWidth="1"/>
    <col min="2" max="2" width="10.75" bestFit="1" customWidth="1"/>
    <col min="3" max="3" width="11.75" bestFit="1" customWidth="1"/>
    <col min="4" max="4" width="12.33203125" bestFit="1" customWidth="1"/>
    <col min="5" max="6" width="10.75" bestFit="1" customWidth="1"/>
    <col min="7" max="7" width="10.4140625" bestFit="1" customWidth="1"/>
    <col min="8" max="12" width="15.1640625" bestFit="1" customWidth="1"/>
    <col min="13" max="14" width="10.4140625" bestFit="1" customWidth="1"/>
    <col min="15" max="15" width="15.1640625" bestFit="1" customWidth="1"/>
    <col min="16" max="16" width="8" bestFit="1" customWidth="1"/>
    <col min="17" max="29" width="10.08203125" bestFit="1" customWidth="1"/>
    <col min="30" max="30" width="8.4140625" bestFit="1" customWidth="1"/>
    <col min="31" max="51" width="10.08203125" bestFit="1" customWidth="1"/>
    <col min="52" max="52" width="8.5" bestFit="1" customWidth="1"/>
    <col min="53" max="66" width="10.08203125" bestFit="1" customWidth="1"/>
    <col min="67" max="67" width="8.1640625" bestFit="1" customWidth="1"/>
    <col min="68" max="80" width="10.08203125" bestFit="1" customWidth="1"/>
    <col min="81" max="81" width="8.6640625" bestFit="1" customWidth="1"/>
    <col min="82" max="94" width="10.08203125" bestFit="1" customWidth="1"/>
    <col min="95" max="95" width="8" bestFit="1" customWidth="1"/>
    <col min="96" max="107" width="10.08203125" bestFit="1" customWidth="1"/>
    <col min="108" max="108" width="7.5" bestFit="1" customWidth="1"/>
    <col min="109" max="113" width="10.08203125" bestFit="1" customWidth="1"/>
    <col min="114" max="114" width="8.33203125" bestFit="1" customWidth="1"/>
    <col min="115" max="123" width="10.08203125" bestFit="1" customWidth="1"/>
    <col min="124" max="124" width="8.5" bestFit="1" customWidth="1"/>
    <col min="125" max="139" width="10.08203125" bestFit="1" customWidth="1"/>
    <col min="140" max="140" width="8.1640625" bestFit="1" customWidth="1"/>
    <col min="141" max="149" width="10.08203125" bestFit="1" customWidth="1"/>
    <col min="150" max="150" width="8.5" bestFit="1" customWidth="1"/>
    <col min="151" max="156" width="10.08203125" bestFit="1" customWidth="1"/>
    <col min="157" max="157" width="8.58203125" bestFit="1" customWidth="1"/>
    <col min="158" max="158" width="10.4140625" bestFit="1" customWidth="1"/>
  </cols>
  <sheetData>
    <row r="3" spans="1:6" x14ac:dyDescent="0.35">
      <c r="A3" t="s">
        <v>1040</v>
      </c>
      <c r="B3" t="s">
        <v>1041</v>
      </c>
      <c r="C3" t="s">
        <v>1042</v>
      </c>
      <c r="D3" t="s">
        <v>1043</v>
      </c>
      <c r="E3" t="s">
        <v>1044</v>
      </c>
    </row>
    <row r="4" spans="1:6" x14ac:dyDescent="0.35">
      <c r="A4" s="20">
        <v>1000</v>
      </c>
      <c r="B4" s="21">
        <v>96623</v>
      </c>
      <c r="C4" s="20">
        <v>89850</v>
      </c>
      <c r="D4" s="22">
        <v>3.8854000000000033</v>
      </c>
      <c r="E4" s="20">
        <v>307</v>
      </c>
    </row>
    <row r="10" spans="1:6" x14ac:dyDescent="0.35">
      <c r="A10" t="s">
        <v>1040</v>
      </c>
      <c r="B10" t="s">
        <v>1041</v>
      </c>
      <c r="C10" t="s">
        <v>1042</v>
      </c>
      <c r="D10" t="s">
        <v>1043</v>
      </c>
      <c r="E10" t="s">
        <v>1044</v>
      </c>
    </row>
    <row r="11" spans="1:6" x14ac:dyDescent="0.35">
      <c r="A11" s="20">
        <v>189</v>
      </c>
      <c r="B11" s="21">
        <v>18415</v>
      </c>
      <c r="C11" s="20">
        <v>16834</v>
      </c>
      <c r="D11" s="22">
        <v>3.9227513227513247</v>
      </c>
      <c r="E11" s="20">
        <v>60</v>
      </c>
    </row>
    <row r="16" spans="1:6" x14ac:dyDescent="0.35">
      <c r="A16" s="23" t="s">
        <v>1058</v>
      </c>
      <c r="B16" t="s">
        <v>1040</v>
      </c>
      <c r="C16" t="s">
        <v>1059</v>
      </c>
      <c r="E16" s="23" t="s">
        <v>1058</v>
      </c>
      <c r="F16" t="s">
        <v>1040</v>
      </c>
    </row>
    <row r="17" spans="1:6" x14ac:dyDescent="0.35">
      <c r="A17" s="24" t="s">
        <v>1046</v>
      </c>
      <c r="B17" s="20">
        <v>16</v>
      </c>
      <c r="C17" s="20">
        <v>16</v>
      </c>
      <c r="E17" s="24" t="s">
        <v>1061</v>
      </c>
      <c r="F17" s="20">
        <v>30</v>
      </c>
    </row>
    <row r="18" spans="1:6" x14ac:dyDescent="0.35">
      <c r="A18" s="24" t="s">
        <v>1047</v>
      </c>
      <c r="B18" s="20">
        <v>14</v>
      </c>
      <c r="C18" s="20">
        <v>14</v>
      </c>
      <c r="E18" s="24" t="s">
        <v>1065</v>
      </c>
      <c r="F18" s="20">
        <v>13</v>
      </c>
    </row>
    <row r="19" spans="1:6" x14ac:dyDescent="0.35">
      <c r="A19" s="24" t="s">
        <v>1048</v>
      </c>
      <c r="B19" s="20">
        <v>26</v>
      </c>
      <c r="C19" s="20">
        <v>26</v>
      </c>
      <c r="E19" s="24" t="s">
        <v>1066</v>
      </c>
      <c r="F19" s="20">
        <v>23</v>
      </c>
    </row>
    <row r="20" spans="1:6" x14ac:dyDescent="0.35">
      <c r="A20" s="24" t="s">
        <v>1049</v>
      </c>
      <c r="B20" s="20">
        <v>29</v>
      </c>
      <c r="C20" s="20">
        <v>29</v>
      </c>
      <c r="E20" s="24" t="s">
        <v>1064</v>
      </c>
      <c r="F20" s="20">
        <v>23</v>
      </c>
    </row>
    <row r="21" spans="1:6" x14ac:dyDescent="0.35">
      <c r="A21" s="24" t="s">
        <v>1050</v>
      </c>
      <c r="B21" s="20">
        <v>17</v>
      </c>
      <c r="C21" s="20">
        <v>17</v>
      </c>
      <c r="E21" s="24" t="s">
        <v>1060</v>
      </c>
      <c r="F21" s="20">
        <v>24</v>
      </c>
    </row>
    <row r="22" spans="1:6" x14ac:dyDescent="0.35">
      <c r="A22" s="24" t="s">
        <v>1051</v>
      </c>
      <c r="B22" s="20">
        <v>15</v>
      </c>
      <c r="C22" s="20">
        <v>15</v>
      </c>
      <c r="E22" s="24" t="s">
        <v>1062</v>
      </c>
      <c r="F22" s="20">
        <v>40</v>
      </c>
    </row>
    <row r="23" spans="1:6" x14ac:dyDescent="0.35">
      <c r="A23" s="24" t="s">
        <v>1052</v>
      </c>
      <c r="B23" s="20">
        <v>15</v>
      </c>
      <c r="C23" s="20">
        <v>15</v>
      </c>
      <c r="E23" s="24" t="s">
        <v>1063</v>
      </c>
      <c r="F23" s="20">
        <v>36</v>
      </c>
    </row>
    <row r="24" spans="1:6" x14ac:dyDescent="0.35">
      <c r="A24" s="24" t="s">
        <v>1053</v>
      </c>
      <c r="B24" s="20">
        <v>7</v>
      </c>
      <c r="C24" s="20">
        <v>7</v>
      </c>
      <c r="E24" s="24" t="s">
        <v>1045</v>
      </c>
      <c r="F24" s="20">
        <v>189</v>
      </c>
    </row>
    <row r="25" spans="1:6" x14ac:dyDescent="0.35">
      <c r="A25" s="24" t="s">
        <v>1054</v>
      </c>
      <c r="B25" s="20">
        <v>11</v>
      </c>
      <c r="C25" s="20">
        <v>11</v>
      </c>
    </row>
    <row r="26" spans="1:6" x14ac:dyDescent="0.35">
      <c r="A26" s="24" t="s">
        <v>1055</v>
      </c>
      <c r="B26" s="20">
        <v>24</v>
      </c>
      <c r="C26" s="20">
        <v>24</v>
      </c>
    </row>
    <row r="27" spans="1:6" x14ac:dyDescent="0.35">
      <c r="A27" s="24" t="s">
        <v>1056</v>
      </c>
      <c r="B27" s="20">
        <v>9</v>
      </c>
      <c r="C27" s="20">
        <v>9</v>
      </c>
    </row>
    <row r="28" spans="1:6" x14ac:dyDescent="0.35">
      <c r="A28" s="24" t="s">
        <v>1057</v>
      </c>
      <c r="B28" s="20">
        <v>6</v>
      </c>
      <c r="C28" s="20">
        <v>6</v>
      </c>
    </row>
    <row r="29" spans="1:6" x14ac:dyDescent="0.35">
      <c r="A29" s="24" t="s">
        <v>1045</v>
      </c>
      <c r="B29" s="20">
        <v>189</v>
      </c>
      <c r="C29" s="20">
        <v>189</v>
      </c>
    </row>
    <row r="40" spans="1:9" x14ac:dyDescent="0.35">
      <c r="E40" t="s">
        <v>1067</v>
      </c>
      <c r="F40" t="s">
        <v>1071</v>
      </c>
      <c r="G40" t="str">
        <f>A52</f>
        <v>R01</v>
      </c>
    </row>
    <row r="41" spans="1:9" x14ac:dyDescent="0.35">
      <c r="A41" s="23" t="s">
        <v>1058</v>
      </c>
      <c r="B41" t="s">
        <v>1040</v>
      </c>
      <c r="C41" t="s">
        <v>1041</v>
      </c>
      <c r="E41" t="s">
        <v>1068</v>
      </c>
      <c r="F41" t="s">
        <v>1069</v>
      </c>
      <c r="G41" t="s">
        <v>1070</v>
      </c>
      <c r="H41" t="s">
        <v>1072</v>
      </c>
      <c r="I41" t="s">
        <v>1073</v>
      </c>
    </row>
    <row r="42" spans="1:9" x14ac:dyDescent="0.35">
      <c r="A42" s="24" t="s">
        <v>11</v>
      </c>
      <c r="B42" s="20">
        <v>189</v>
      </c>
      <c r="C42" s="21">
        <v>18415</v>
      </c>
      <c r="E42" t="str" cm="1">
        <f t="array" ref="E42:G46">A42:C46</f>
        <v>R01</v>
      </c>
      <c r="F42">
        <v>189</v>
      </c>
      <c r="G42" s="25">
        <v>18415</v>
      </c>
      <c r="H42">
        <f>IF(E42=$G$40,F42,NA())</f>
        <v>189</v>
      </c>
      <c r="I42" s="25">
        <f>IF(E42=$G$40,G42,NA())</f>
        <v>18415</v>
      </c>
    </row>
    <row r="43" spans="1:9" x14ac:dyDescent="0.35">
      <c r="A43" s="24" t="s">
        <v>9</v>
      </c>
      <c r="B43" s="20">
        <v>218</v>
      </c>
      <c r="C43" s="21">
        <v>20581</v>
      </c>
      <c r="E43" t="str">
        <v>R02</v>
      </c>
      <c r="F43">
        <v>218</v>
      </c>
      <c r="G43" s="25">
        <v>20581</v>
      </c>
      <c r="H43" t="e">
        <f t="shared" ref="H43:H46" si="0">IF(E43=$G$40,F43,NA())</f>
        <v>#N/A</v>
      </c>
      <c r="I43" s="25" t="e">
        <f t="shared" ref="I43:I46" si="1">IF(E43=$G$40,G43,NA())</f>
        <v>#N/A</v>
      </c>
    </row>
    <row r="44" spans="1:9" x14ac:dyDescent="0.35">
      <c r="A44" s="24" t="s">
        <v>6</v>
      </c>
      <c r="B44" s="20">
        <v>207</v>
      </c>
      <c r="C44" s="21">
        <v>20872</v>
      </c>
      <c r="E44" t="str">
        <v>R03</v>
      </c>
      <c r="F44">
        <v>207</v>
      </c>
      <c r="G44" s="25">
        <v>20872</v>
      </c>
      <c r="H44" t="e">
        <f t="shared" si="0"/>
        <v>#N/A</v>
      </c>
      <c r="I44" s="25" t="e">
        <f t="shared" si="1"/>
        <v>#N/A</v>
      </c>
    </row>
    <row r="45" spans="1:9" x14ac:dyDescent="0.35">
      <c r="A45" s="24" t="s">
        <v>13</v>
      </c>
      <c r="B45" s="20">
        <v>186</v>
      </c>
      <c r="C45" s="21">
        <v>16651</v>
      </c>
      <c r="E45" t="str">
        <v>R04</v>
      </c>
      <c r="F45">
        <v>186</v>
      </c>
      <c r="G45" s="25">
        <v>16651</v>
      </c>
      <c r="H45" t="e">
        <f t="shared" si="0"/>
        <v>#N/A</v>
      </c>
      <c r="I45" s="25" t="e">
        <f t="shared" si="1"/>
        <v>#N/A</v>
      </c>
    </row>
    <row r="46" spans="1:9" x14ac:dyDescent="0.35">
      <c r="A46" s="24" t="s">
        <v>10</v>
      </c>
      <c r="B46" s="20">
        <v>200</v>
      </c>
      <c r="C46" s="21">
        <v>20104</v>
      </c>
      <c r="E46" t="str">
        <v>R05</v>
      </c>
      <c r="F46">
        <v>200</v>
      </c>
      <c r="G46" s="25">
        <v>20104</v>
      </c>
      <c r="H46" t="e">
        <f t="shared" si="0"/>
        <v>#N/A</v>
      </c>
      <c r="I46" s="25" t="e">
        <f t="shared" si="1"/>
        <v>#N/A</v>
      </c>
    </row>
    <row r="47" spans="1:9" x14ac:dyDescent="0.35">
      <c r="A47" s="24" t="s">
        <v>1045</v>
      </c>
      <c r="B47" s="20">
        <v>1000</v>
      </c>
      <c r="C47" s="21">
        <v>96623</v>
      </c>
    </row>
    <row r="51" spans="1:7" x14ac:dyDescent="0.35">
      <c r="A51" s="23" t="s">
        <v>1058</v>
      </c>
      <c r="B51" s="14" t="s">
        <v>1076</v>
      </c>
      <c r="D51" s="23" t="s">
        <v>1040</v>
      </c>
      <c r="E51" s="23" t="s">
        <v>1074</v>
      </c>
    </row>
    <row r="52" spans="1:7" x14ac:dyDescent="0.35">
      <c r="A52" s="26" t="s">
        <v>11</v>
      </c>
      <c r="B52" t="s">
        <v>1077</v>
      </c>
      <c r="C52" s="40">
        <f>A11/A4</f>
        <v>0.189</v>
      </c>
      <c r="D52" s="23" t="s">
        <v>1058</v>
      </c>
      <c r="E52" t="s">
        <v>999</v>
      </c>
      <c r="F52" t="s">
        <v>998</v>
      </c>
      <c r="G52" t="s">
        <v>1045</v>
      </c>
    </row>
    <row r="53" spans="1:7" x14ac:dyDescent="0.35">
      <c r="B53" t="s">
        <v>1069</v>
      </c>
      <c r="C53">
        <f>_xlfn.XLOOKUP($A$52,$E$42:$E$46,$F$42:$F$46,,0)</f>
        <v>189</v>
      </c>
      <c r="D53" s="24" t="s">
        <v>1002</v>
      </c>
      <c r="E53" s="20">
        <v>144</v>
      </c>
      <c r="F53" s="20">
        <v>132</v>
      </c>
      <c r="G53" s="20">
        <v>276</v>
      </c>
    </row>
    <row r="54" spans="1:7" x14ac:dyDescent="0.35">
      <c r="B54" t="s">
        <v>1070</v>
      </c>
      <c r="C54">
        <f>_xlfn.XLOOKUP($A$52,$E$42:$E$46,$G$42:$G$46,,0)</f>
        <v>18415</v>
      </c>
      <c r="D54" s="24" t="s">
        <v>1001</v>
      </c>
      <c r="E54" s="20">
        <v>326</v>
      </c>
      <c r="F54" s="20">
        <v>63</v>
      </c>
      <c r="G54" s="20">
        <v>389</v>
      </c>
    </row>
    <row r="55" spans="1:7" x14ac:dyDescent="0.35">
      <c r="D55" s="24" t="s">
        <v>1000</v>
      </c>
      <c r="E55" s="20">
        <v>129</v>
      </c>
      <c r="F55" s="20">
        <v>206</v>
      </c>
      <c r="G55" s="20">
        <v>335</v>
      </c>
    </row>
    <row r="56" spans="1:7" x14ac:dyDescent="0.35">
      <c r="B56" t="s">
        <v>1078</v>
      </c>
      <c r="C56">
        <f>_xlfn.RANK.AVG(C53,F42:F46)</f>
        <v>4</v>
      </c>
      <c r="D56" s="24" t="s">
        <v>1045</v>
      </c>
      <c r="E56" s="20">
        <v>599</v>
      </c>
      <c r="F56" s="20">
        <v>401</v>
      </c>
      <c r="G56" s="20">
        <v>1000</v>
      </c>
    </row>
    <row r="57" spans="1:7" x14ac:dyDescent="0.35">
      <c r="B57" t="s">
        <v>1079</v>
      </c>
      <c r="C57">
        <f>_xlfn.RANK.AVG(C54,G42:G46)</f>
        <v>4</v>
      </c>
    </row>
    <row r="59" spans="1:7" x14ac:dyDescent="0.35">
      <c r="B59" t="s">
        <v>1080</v>
      </c>
    </row>
    <row r="60" spans="1:7" x14ac:dyDescent="0.35">
      <c r="C60" t="str">
        <f>"% Of Calls : "&amp; TEXT(C52,"0%")</f>
        <v>% Of Calls : 19%</v>
      </c>
      <c r="D60" s="23" t="s">
        <v>1058</v>
      </c>
      <c r="E60" t="s">
        <v>1040</v>
      </c>
    </row>
    <row r="61" spans="1:7" x14ac:dyDescent="0.35">
      <c r="C61" t="str">
        <f>IF(COUNTA(A52:A56)&gt;1," ","Call Rank : " &amp; C56)</f>
        <v>Call Rank : 4</v>
      </c>
      <c r="D61" s="24">
        <v>1</v>
      </c>
      <c r="E61" s="20">
        <v>1</v>
      </c>
    </row>
    <row r="62" spans="1:7" x14ac:dyDescent="0.35">
      <c r="C62" t="str">
        <f>IF(COUNTA(A52:A56)&gt;1," ","Amount Rank : " &amp; C57)</f>
        <v>Amount Rank : 4</v>
      </c>
      <c r="D62" s="24">
        <v>2</v>
      </c>
      <c r="E62" s="20">
        <v>9</v>
      </c>
    </row>
    <row r="63" spans="1:7" ht="18.5" x14ac:dyDescent="0.35">
      <c r="B63" t="s">
        <v>1081</v>
      </c>
      <c r="C63" s="41" t="str">
        <f>IF(COUNTA(A52:A57)&gt;1," ",_xlfn.XLOOKUP(A52,Title!D2:D6,Title!E2:E6,,0))</f>
        <v>Heena Sheikh</v>
      </c>
      <c r="D63" s="24">
        <v>3</v>
      </c>
      <c r="E63" s="20">
        <v>31</v>
      </c>
    </row>
    <row r="64" spans="1:7" x14ac:dyDescent="0.35">
      <c r="D64" s="24">
        <v>4</v>
      </c>
      <c r="E64" s="20">
        <v>88</v>
      </c>
    </row>
    <row r="65" spans="1:7" x14ac:dyDescent="0.35">
      <c r="D65" s="24">
        <v>5</v>
      </c>
      <c r="E65" s="20">
        <v>60</v>
      </c>
    </row>
    <row r="66" spans="1:7" x14ac:dyDescent="0.35">
      <c r="D66" s="24" t="s">
        <v>1045</v>
      </c>
      <c r="E66" s="20">
        <v>189</v>
      </c>
    </row>
    <row r="74" spans="1:7" x14ac:dyDescent="0.35">
      <c r="A74" s="23" t="s">
        <v>1041</v>
      </c>
      <c r="B74" s="23" t="s">
        <v>1074</v>
      </c>
    </row>
    <row r="75" spans="1:7" x14ac:dyDescent="0.35">
      <c r="A75" s="23" t="s">
        <v>1058</v>
      </c>
      <c r="B75" t="s">
        <v>11</v>
      </c>
      <c r="C75" t="s">
        <v>9</v>
      </c>
      <c r="D75" t="s">
        <v>6</v>
      </c>
      <c r="E75" t="s">
        <v>13</v>
      </c>
      <c r="F75" t="s">
        <v>10</v>
      </c>
      <c r="G75" t="s">
        <v>1045</v>
      </c>
    </row>
    <row r="76" spans="1:7" x14ac:dyDescent="0.35">
      <c r="A76" s="24" t="s">
        <v>1002</v>
      </c>
    </row>
    <row r="77" spans="1:7" x14ac:dyDescent="0.35">
      <c r="A77" s="27" t="s">
        <v>20</v>
      </c>
      <c r="B77" s="21">
        <v>891</v>
      </c>
      <c r="C77" s="21">
        <v>1332</v>
      </c>
      <c r="D77" s="21">
        <v>1282</v>
      </c>
      <c r="E77" s="21">
        <v>739</v>
      </c>
      <c r="F77" s="21">
        <v>560</v>
      </c>
      <c r="G77" s="21">
        <v>4804</v>
      </c>
    </row>
    <row r="78" spans="1:7" x14ac:dyDescent="0.35">
      <c r="A78" s="27" t="s">
        <v>12</v>
      </c>
      <c r="B78" s="21">
        <v>1991</v>
      </c>
      <c r="C78" s="21">
        <v>1886</v>
      </c>
      <c r="D78" s="21">
        <v>1206</v>
      </c>
      <c r="E78" s="21">
        <v>884</v>
      </c>
      <c r="F78" s="21">
        <v>1722</v>
      </c>
      <c r="G78" s="21">
        <v>7689</v>
      </c>
    </row>
    <row r="79" spans="1:7" x14ac:dyDescent="0.35">
      <c r="A79" s="27" t="s">
        <v>8</v>
      </c>
      <c r="B79" s="21">
        <v>1163</v>
      </c>
      <c r="C79" s="21">
        <v>1180</v>
      </c>
      <c r="D79" s="21">
        <v>1616</v>
      </c>
      <c r="E79" s="21">
        <v>1043</v>
      </c>
      <c r="F79" s="21">
        <v>1747</v>
      </c>
      <c r="G79" s="21">
        <v>6749</v>
      </c>
    </row>
    <row r="80" spans="1:7" x14ac:dyDescent="0.35">
      <c r="A80" s="27" t="s">
        <v>16</v>
      </c>
      <c r="B80" s="21">
        <v>1438</v>
      </c>
      <c r="C80" s="21">
        <v>1616</v>
      </c>
      <c r="D80" s="21">
        <v>866</v>
      </c>
      <c r="E80" s="21">
        <v>829</v>
      </c>
      <c r="F80" s="21">
        <v>2070</v>
      </c>
      <c r="G80" s="21">
        <v>6819</v>
      </c>
    </row>
    <row r="81" spans="1:7" x14ac:dyDescent="0.35">
      <c r="A81" s="24" t="s">
        <v>1001</v>
      </c>
    </row>
    <row r="82" spans="1:7" x14ac:dyDescent="0.35">
      <c r="A82" s="27" t="s">
        <v>24</v>
      </c>
      <c r="B82" s="21">
        <v>1233</v>
      </c>
      <c r="C82" s="21">
        <v>223</v>
      </c>
      <c r="D82" s="21">
        <v>1680</v>
      </c>
      <c r="E82" s="21">
        <v>990</v>
      </c>
      <c r="F82" s="21">
        <v>1508</v>
      </c>
      <c r="G82" s="21">
        <v>5634</v>
      </c>
    </row>
    <row r="83" spans="1:7" x14ac:dyDescent="0.35">
      <c r="A83" s="27" t="s">
        <v>15</v>
      </c>
      <c r="B83" s="21">
        <v>1598</v>
      </c>
      <c r="C83" s="21">
        <v>1907</v>
      </c>
      <c r="D83" s="21">
        <v>869</v>
      </c>
      <c r="E83" s="21">
        <v>1426</v>
      </c>
      <c r="F83" s="21">
        <v>1416</v>
      </c>
      <c r="G83" s="21">
        <v>7216</v>
      </c>
    </row>
    <row r="84" spans="1:7" x14ac:dyDescent="0.35">
      <c r="A84" s="27" t="s">
        <v>5</v>
      </c>
      <c r="B84" s="21">
        <v>900</v>
      </c>
      <c r="C84" s="21">
        <v>1016</v>
      </c>
      <c r="D84" s="21">
        <v>960</v>
      </c>
      <c r="E84" s="21">
        <v>940</v>
      </c>
      <c r="F84" s="21">
        <v>1193</v>
      </c>
      <c r="G84" s="21">
        <v>5009</v>
      </c>
    </row>
    <row r="85" spans="1:7" x14ac:dyDescent="0.35">
      <c r="A85" s="27" t="s">
        <v>18</v>
      </c>
      <c r="B85" s="21">
        <v>900</v>
      </c>
      <c r="C85" s="21">
        <v>1470</v>
      </c>
      <c r="D85" s="21">
        <v>1617</v>
      </c>
      <c r="E85" s="21">
        <v>1314</v>
      </c>
      <c r="F85" s="21">
        <v>941</v>
      </c>
      <c r="G85" s="21">
        <v>6242</v>
      </c>
    </row>
    <row r="86" spans="1:7" x14ac:dyDescent="0.35">
      <c r="A86" s="27" t="s">
        <v>14</v>
      </c>
      <c r="B86" s="21">
        <v>1255</v>
      </c>
      <c r="C86" s="21">
        <v>516</v>
      </c>
      <c r="D86" s="21">
        <v>1874</v>
      </c>
      <c r="E86" s="21">
        <v>1863</v>
      </c>
      <c r="F86" s="21">
        <v>1722</v>
      </c>
      <c r="G86" s="21">
        <v>7230</v>
      </c>
    </row>
    <row r="87" spans="1:7" x14ac:dyDescent="0.35">
      <c r="A87" s="27" t="s">
        <v>19</v>
      </c>
      <c r="B87" s="21">
        <v>1138</v>
      </c>
      <c r="C87" s="21">
        <v>1898</v>
      </c>
      <c r="D87" s="21">
        <v>1482</v>
      </c>
      <c r="E87" s="21">
        <v>846</v>
      </c>
      <c r="F87" s="21">
        <v>1154</v>
      </c>
      <c r="G87" s="21">
        <v>6518</v>
      </c>
    </row>
    <row r="88" spans="1:7" x14ac:dyDescent="0.35">
      <c r="A88" s="24" t="s">
        <v>1000</v>
      </c>
    </row>
    <row r="89" spans="1:7" x14ac:dyDescent="0.35">
      <c r="A89" s="27" t="s">
        <v>17</v>
      </c>
      <c r="B89" s="21">
        <v>1655</v>
      </c>
      <c r="C89" s="21">
        <v>805</v>
      </c>
      <c r="D89" s="21">
        <v>2263</v>
      </c>
      <c r="E89" s="21">
        <v>987</v>
      </c>
      <c r="F89" s="21">
        <v>1075</v>
      </c>
      <c r="G89" s="21">
        <v>6785</v>
      </c>
    </row>
    <row r="90" spans="1:7" x14ac:dyDescent="0.35">
      <c r="A90" s="27" t="s">
        <v>23</v>
      </c>
      <c r="B90" s="21">
        <v>1104</v>
      </c>
      <c r="C90" s="21">
        <v>2280</v>
      </c>
      <c r="D90" s="21">
        <v>1445</v>
      </c>
      <c r="E90" s="21">
        <v>1722</v>
      </c>
      <c r="F90" s="21">
        <v>1196</v>
      </c>
      <c r="G90" s="21">
        <v>7747</v>
      </c>
    </row>
    <row r="91" spans="1:7" x14ac:dyDescent="0.35">
      <c r="A91" s="27" t="s">
        <v>7</v>
      </c>
      <c r="B91" s="21">
        <v>372</v>
      </c>
      <c r="C91" s="21">
        <v>1818</v>
      </c>
      <c r="D91" s="21">
        <v>1346</v>
      </c>
      <c r="E91" s="21">
        <v>1156</v>
      </c>
      <c r="F91" s="21">
        <v>1484</v>
      </c>
      <c r="G91" s="21">
        <v>6176</v>
      </c>
    </row>
    <row r="92" spans="1:7" x14ac:dyDescent="0.35">
      <c r="A92" s="27" t="s">
        <v>22</v>
      </c>
      <c r="B92" s="21">
        <v>1415</v>
      </c>
      <c r="C92" s="21">
        <v>1271</v>
      </c>
      <c r="D92" s="21">
        <v>1214</v>
      </c>
      <c r="E92" s="21">
        <v>1135</v>
      </c>
      <c r="F92" s="21">
        <v>1566</v>
      </c>
      <c r="G92" s="21">
        <v>6601</v>
      </c>
    </row>
    <row r="93" spans="1:7" x14ac:dyDescent="0.35">
      <c r="A93" s="27" t="s">
        <v>21</v>
      </c>
      <c r="B93" s="21">
        <v>1362</v>
      </c>
      <c r="C93" s="21">
        <v>1363</v>
      </c>
      <c r="D93" s="21">
        <v>1152</v>
      </c>
      <c r="E93" s="21">
        <v>777</v>
      </c>
      <c r="F93" s="21">
        <v>750</v>
      </c>
      <c r="G93" s="21">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709F1-CD1A-4FD1-BCE4-4348BF47478F}">
  <dimension ref="D1:E6"/>
  <sheetViews>
    <sheetView workbookViewId="0">
      <selection activeCell="E2" sqref="E2"/>
    </sheetView>
  </sheetViews>
  <sheetFormatPr defaultRowHeight="14.5" x14ac:dyDescent="0.35"/>
  <cols>
    <col min="5" max="5" width="15.9140625" bestFit="1" customWidth="1"/>
  </cols>
  <sheetData>
    <row r="1" spans="4:5" x14ac:dyDescent="0.35">
      <c r="D1" t="s">
        <v>1068</v>
      </c>
      <c r="E1" t="s">
        <v>1081</v>
      </c>
    </row>
    <row r="2" spans="4:5" ht="18.5" x14ac:dyDescent="0.35">
      <c r="D2" t="s">
        <v>11</v>
      </c>
      <c r="E2" s="41" t="s">
        <v>1082</v>
      </c>
    </row>
    <row r="3" spans="4:5" ht="18.5" x14ac:dyDescent="0.35">
      <c r="D3" t="s">
        <v>9</v>
      </c>
      <c r="E3" s="41" t="s">
        <v>1083</v>
      </c>
    </row>
    <row r="4" spans="4:5" ht="18.5" x14ac:dyDescent="0.35">
      <c r="D4" t="s">
        <v>6</v>
      </c>
      <c r="E4" s="41" t="s">
        <v>1084</v>
      </c>
    </row>
    <row r="5" spans="4:5" ht="18.5" x14ac:dyDescent="0.35">
      <c r="D5" t="s">
        <v>13</v>
      </c>
      <c r="E5" s="41" t="s">
        <v>1085</v>
      </c>
    </row>
    <row r="6" spans="4:5" ht="18.5" x14ac:dyDescent="0.35">
      <c r="D6" t="s">
        <v>10</v>
      </c>
      <c r="E6" s="41" t="s">
        <v>1086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B1" sqref="B1"/>
    </sheetView>
  </sheetViews>
  <sheetFormatPr defaultRowHeight="14.5" x14ac:dyDescent="0.35"/>
  <cols>
    <col min="1" max="1" width="3.1640625" customWidth="1"/>
    <col min="2" max="2" width="14.58203125" customWidth="1"/>
    <col min="3" max="3" width="12.9140625" customWidth="1"/>
    <col min="4" max="4" width="16.58203125" customWidth="1"/>
    <col min="5" max="5" width="15" customWidth="1"/>
    <col min="6" max="6" width="16.08203125" customWidth="1"/>
    <col min="7" max="7" width="17.1640625" customWidth="1"/>
    <col min="8" max="8" width="18.4140625" customWidth="1"/>
    <col min="9" max="9" width="17.16406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BCB39-90DE-4032-BB26-F6546306F7B1}">
  <dimension ref="C1:V34"/>
  <sheetViews>
    <sheetView showGridLines="0" showRowColHeaders="0" tabSelected="1" workbookViewId="0"/>
  </sheetViews>
  <sheetFormatPr defaultRowHeight="14.5" x14ac:dyDescent="0.35"/>
  <cols>
    <col min="1" max="1" width="3.33203125" customWidth="1"/>
    <col min="2" max="2" width="3" customWidth="1"/>
  </cols>
  <sheetData>
    <row r="1" spans="3:22" ht="31.25" customHeight="1" x14ac:dyDescent="0.35">
      <c r="C1" s="42" t="s">
        <v>1087</v>
      </c>
    </row>
    <row r="15" spans="3:22" ht="15" thickBot="1" x14ac:dyDescent="0.4"/>
    <row r="16" spans="3:22" x14ac:dyDescent="0.35">
      <c r="P16" s="28"/>
      <c r="Q16" s="38" t="str" cm="1">
        <f t="array" ref="Q16:U16">Pivot!B75:F75</f>
        <v>R01</v>
      </c>
      <c r="R16" s="38" t="str">
        <v>R02</v>
      </c>
      <c r="S16" s="38" t="str">
        <v>R03</v>
      </c>
      <c r="T16" s="38" t="str">
        <v>R04</v>
      </c>
      <c r="U16" s="38" t="str">
        <v>R05</v>
      </c>
      <c r="V16" s="39" t="s">
        <v>1075</v>
      </c>
    </row>
    <row r="17" spans="13:22" x14ac:dyDescent="0.35">
      <c r="P17" s="37" t="str" cm="1">
        <f t="array" ref="P17:V34">IF(Pivot!A76:G93=0, "", Pivot!A76:G93)</f>
        <v>Cincinnati</v>
      </c>
      <c r="Q17" s="30" t="str">
        <v/>
      </c>
      <c r="R17" s="30" t="str">
        <v/>
      </c>
      <c r="S17" s="30" t="str">
        <v/>
      </c>
      <c r="T17" s="30" t="str">
        <v/>
      </c>
      <c r="U17" s="30" t="str">
        <v/>
      </c>
      <c r="V17" s="31" t="str">
        <v/>
      </c>
    </row>
    <row r="18" spans="13:22" x14ac:dyDescent="0.35">
      <c r="P18" s="29" t="str">
        <v>C0003</v>
      </c>
      <c r="Q18" s="32">
        <v>891</v>
      </c>
      <c r="R18" s="32">
        <v>1332</v>
      </c>
      <c r="S18" s="32">
        <v>1282</v>
      </c>
      <c r="T18" s="32">
        <v>739</v>
      </c>
      <c r="U18" s="32">
        <v>560</v>
      </c>
      <c r="V18" s="33">
        <v>4804</v>
      </c>
    </row>
    <row r="19" spans="13:22" x14ac:dyDescent="0.35">
      <c r="P19" s="29" t="str">
        <v>C0004</v>
      </c>
      <c r="Q19" s="32">
        <v>1991</v>
      </c>
      <c r="R19" s="32">
        <v>1886</v>
      </c>
      <c r="S19" s="32">
        <v>1206</v>
      </c>
      <c r="T19" s="32">
        <v>884</v>
      </c>
      <c r="U19" s="32">
        <v>1722</v>
      </c>
      <c r="V19" s="33">
        <v>7689</v>
      </c>
    </row>
    <row r="20" spans="13:22" x14ac:dyDescent="0.35">
      <c r="P20" s="29" t="str">
        <v>C0011</v>
      </c>
      <c r="Q20" s="32">
        <v>1163</v>
      </c>
      <c r="R20" s="32">
        <v>1180</v>
      </c>
      <c r="S20" s="32">
        <v>1616</v>
      </c>
      <c r="T20" s="32">
        <v>1043</v>
      </c>
      <c r="U20" s="32">
        <v>1747</v>
      </c>
      <c r="V20" s="33">
        <v>6749</v>
      </c>
    </row>
    <row r="21" spans="13:22" x14ac:dyDescent="0.35">
      <c r="P21" s="29" t="str">
        <v>C0012</v>
      </c>
      <c r="Q21" s="32">
        <v>1438</v>
      </c>
      <c r="R21" s="32">
        <v>1616</v>
      </c>
      <c r="S21" s="32">
        <v>866</v>
      </c>
      <c r="T21" s="32">
        <v>829</v>
      </c>
      <c r="U21" s="32">
        <v>2070</v>
      </c>
      <c r="V21" s="33">
        <v>6819</v>
      </c>
    </row>
    <row r="22" spans="13:22" x14ac:dyDescent="0.35">
      <c r="P22" s="37" t="str">
        <v>Cleveland</v>
      </c>
      <c r="Q22" s="32" t="str">
        <v/>
      </c>
      <c r="R22" s="32" t="str">
        <v/>
      </c>
      <c r="S22" s="32" t="str">
        <v/>
      </c>
      <c r="T22" s="32" t="str">
        <v/>
      </c>
      <c r="U22" s="32" t="str">
        <v/>
      </c>
      <c r="V22" s="33" t="str">
        <v/>
      </c>
    </row>
    <row r="23" spans="13:22" x14ac:dyDescent="0.35">
      <c r="P23" s="29" t="str">
        <v>C0002</v>
      </c>
      <c r="Q23" s="32">
        <v>1233</v>
      </c>
      <c r="R23" s="32">
        <v>223</v>
      </c>
      <c r="S23" s="32">
        <v>1680</v>
      </c>
      <c r="T23" s="32">
        <v>990</v>
      </c>
      <c r="U23" s="32">
        <v>1508</v>
      </c>
      <c r="V23" s="33">
        <v>5634</v>
      </c>
    </row>
    <row r="24" spans="13:22" x14ac:dyDescent="0.35">
      <c r="P24" s="29" t="str">
        <v>C0007</v>
      </c>
      <c r="Q24" s="32">
        <v>1598</v>
      </c>
      <c r="R24" s="32">
        <v>1907</v>
      </c>
      <c r="S24" s="32">
        <v>869</v>
      </c>
      <c r="T24" s="32">
        <v>1426</v>
      </c>
      <c r="U24" s="32">
        <v>1416</v>
      </c>
      <c r="V24" s="33">
        <v>7216</v>
      </c>
    </row>
    <row r="25" spans="13:22" x14ac:dyDescent="0.35">
      <c r="P25" s="29" t="str">
        <v>C0008</v>
      </c>
      <c r="Q25" s="32">
        <v>900</v>
      </c>
      <c r="R25" s="32">
        <v>1016</v>
      </c>
      <c r="S25" s="32">
        <v>960</v>
      </c>
      <c r="T25" s="32">
        <v>940</v>
      </c>
      <c r="U25" s="32">
        <v>1193</v>
      </c>
      <c r="V25" s="33">
        <v>5009</v>
      </c>
    </row>
    <row r="26" spans="13:22" x14ac:dyDescent="0.35">
      <c r="P26" s="29" t="str">
        <v>C0010</v>
      </c>
      <c r="Q26" s="32">
        <v>900</v>
      </c>
      <c r="R26" s="32">
        <v>1470</v>
      </c>
      <c r="S26" s="32">
        <v>1617</v>
      </c>
      <c r="T26" s="32">
        <v>1314</v>
      </c>
      <c r="U26" s="32">
        <v>941</v>
      </c>
      <c r="V26" s="33">
        <v>6242</v>
      </c>
    </row>
    <row r="27" spans="13:22" ht="18" customHeight="1" x14ac:dyDescent="0.35">
      <c r="M27" s="45" t="str">
        <f>Pivot!C63</f>
        <v>Heena Sheikh</v>
      </c>
      <c r="N27" s="45"/>
      <c r="P27" s="29" t="str">
        <v>C0013</v>
      </c>
      <c r="Q27" s="32">
        <v>1255</v>
      </c>
      <c r="R27" s="32">
        <v>516</v>
      </c>
      <c r="S27" s="32">
        <v>1874</v>
      </c>
      <c r="T27" s="32">
        <v>1863</v>
      </c>
      <c r="U27" s="32">
        <v>1722</v>
      </c>
      <c r="V27" s="33">
        <v>7230</v>
      </c>
    </row>
    <row r="28" spans="13:22" ht="18" customHeight="1" thickBot="1" x14ac:dyDescent="0.4">
      <c r="M28" s="45"/>
      <c r="N28" s="45"/>
      <c r="P28" s="29" t="str">
        <v>C0015</v>
      </c>
      <c r="Q28" s="32">
        <v>1138</v>
      </c>
      <c r="R28" s="32">
        <v>1898</v>
      </c>
      <c r="S28" s="32">
        <v>1482</v>
      </c>
      <c r="T28" s="32">
        <v>846</v>
      </c>
      <c r="U28" s="32">
        <v>1154</v>
      </c>
      <c r="V28" s="33">
        <v>6518</v>
      </c>
    </row>
    <row r="29" spans="13:22" ht="16" thickBot="1" x14ac:dyDescent="0.4">
      <c r="M29" s="43" t="str">
        <f>Pivot!C60</f>
        <v>% Of Calls : 19%</v>
      </c>
      <c r="N29" s="44"/>
      <c r="P29" s="37" t="str">
        <v>Columbus</v>
      </c>
      <c r="Q29" s="32" t="str">
        <v/>
      </c>
      <c r="R29" s="32" t="str">
        <v/>
      </c>
      <c r="S29" s="32" t="str">
        <v/>
      </c>
      <c r="T29" s="32" t="str">
        <v/>
      </c>
      <c r="U29" s="32" t="str">
        <v/>
      </c>
      <c r="V29" s="33" t="str">
        <v/>
      </c>
    </row>
    <row r="30" spans="13:22" ht="16" thickBot="1" x14ac:dyDescent="0.4">
      <c r="M30" s="43" t="str">
        <f>Pivot!C61</f>
        <v>Call Rank : 4</v>
      </c>
      <c r="N30" s="44"/>
      <c r="P30" s="29" t="str">
        <v>C0001</v>
      </c>
      <c r="Q30" s="32">
        <v>1655</v>
      </c>
      <c r="R30" s="32">
        <v>805</v>
      </c>
      <c r="S30" s="32">
        <v>2263</v>
      </c>
      <c r="T30" s="32">
        <v>987</v>
      </c>
      <c r="U30" s="32">
        <v>1075</v>
      </c>
      <c r="V30" s="33">
        <v>6785</v>
      </c>
    </row>
    <row r="31" spans="13:22" ht="16" thickBot="1" x14ac:dyDescent="0.4">
      <c r="M31" s="43" t="str">
        <f>Pivot!C62</f>
        <v>Amount Rank : 4</v>
      </c>
      <c r="N31" s="44"/>
      <c r="P31" s="29" t="str">
        <v>C0005</v>
      </c>
      <c r="Q31" s="32">
        <v>1104</v>
      </c>
      <c r="R31" s="32">
        <v>2280</v>
      </c>
      <c r="S31" s="32">
        <v>1445</v>
      </c>
      <c r="T31" s="32">
        <v>1722</v>
      </c>
      <c r="U31" s="32">
        <v>1196</v>
      </c>
      <c r="V31" s="33">
        <v>7747</v>
      </c>
    </row>
    <row r="32" spans="13:22" x14ac:dyDescent="0.35">
      <c r="P32" s="29" t="str">
        <v>C0006</v>
      </c>
      <c r="Q32" s="32">
        <v>372</v>
      </c>
      <c r="R32" s="32">
        <v>1818</v>
      </c>
      <c r="S32" s="32">
        <v>1346</v>
      </c>
      <c r="T32" s="32">
        <v>1156</v>
      </c>
      <c r="U32" s="32">
        <v>1484</v>
      </c>
      <c r="V32" s="33">
        <v>6176</v>
      </c>
    </row>
    <row r="33" spans="16:22" x14ac:dyDescent="0.35">
      <c r="P33" s="29" t="str">
        <v>C0009</v>
      </c>
      <c r="Q33" s="32">
        <v>1415</v>
      </c>
      <c r="R33" s="32">
        <v>1271</v>
      </c>
      <c r="S33" s="32">
        <v>1214</v>
      </c>
      <c r="T33" s="32">
        <v>1135</v>
      </c>
      <c r="U33" s="32">
        <v>1566</v>
      </c>
      <c r="V33" s="33">
        <v>6601</v>
      </c>
    </row>
    <row r="34" spans="16:22" ht="15" thickBot="1" x14ac:dyDescent="0.4">
      <c r="P34" s="34" t="str">
        <v>C0014</v>
      </c>
      <c r="Q34" s="35">
        <v>1362</v>
      </c>
      <c r="R34" s="35">
        <v>1363</v>
      </c>
      <c r="S34" s="35">
        <v>1152</v>
      </c>
      <c r="T34" s="35">
        <v>777</v>
      </c>
      <c r="U34" s="35">
        <v>750</v>
      </c>
      <c r="V34" s="36">
        <v>5404</v>
      </c>
    </row>
  </sheetData>
  <mergeCells count="4">
    <mergeCell ref="M29:N29"/>
    <mergeCell ref="M30:N30"/>
    <mergeCell ref="M27:N28"/>
    <mergeCell ref="M31:N31"/>
  </mergeCells>
  <conditionalFormatting sqref="Q17:U34">
    <cfRule type="dataBar" priority="2">
      <dataBar>
        <cfvo type="num" val="0"/>
        <cfvo type="formula" val="MAX($Q$17:$U$34)*2"/>
        <color rgb="FFFF555A"/>
      </dataBar>
      <extLst>
        <ext xmlns:x14="http://schemas.microsoft.com/office/spreadsheetml/2009/9/main" uri="{B025F937-C7B1-47D3-B67F-A62EFF666E3E}">
          <x14:id>{022B4771-2744-4786-900D-F5817316F564}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C3F6B4B1-8CF7-4342-B37E-F242AD07785B}">
            <xm:f>Q$16 =Pivot!$A$52</xm:f>
            <x14:dxf>
              <fill>
                <patternFill>
                  <bgColor theme="9" tint="0.79998168889431442"/>
                </patternFill>
              </fill>
              <border>
                <left style="dashDot">
                  <color auto="1"/>
                </left>
                <right style="dashDot">
                  <color auto="1"/>
                </right>
                <vertical/>
                <horizontal/>
              </border>
            </x14:dxf>
          </x14:cfRule>
          <xm:sqref>Q16:U34</xm:sqref>
        </x14:conditionalFormatting>
        <x14:conditionalFormatting xmlns:xm="http://schemas.microsoft.com/office/excel/2006/main">
          <x14:cfRule type="dataBar" id="{022B4771-2744-4786-900D-F5817316F564}">
            <x14:dataBar minLength="0" maxLength="100" border="1" negativeBarBorderColorSameAsPositive="0">
              <x14:cfvo type="num">
                <xm:f>0</xm:f>
              </x14:cfvo>
              <x14:cfvo type="formula">
                <xm:f>MAX($Q$17:$U$34)*2</xm:f>
              </x14:cfvo>
              <x14:borderColor rgb="FFFF555A"/>
              <x14:negativeFillColor rgb="FFFF0000"/>
              <x14:negativeBorderColor rgb="FFFF0000"/>
              <x14:axisColor rgb="FF000000"/>
            </x14:dataBar>
          </x14:cfRule>
          <xm:sqref>Q17:U34</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e73c8a5-28c3-47f4-992a-f4fa5068220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769C0CB4422354FA91C3FE6D7914391" ma:contentTypeVersion="10" ma:contentTypeDescription="Create a new document." ma:contentTypeScope="" ma:versionID="b7c723ee3911480f33adafbcb345eea5">
  <xsd:schema xmlns:xsd="http://www.w3.org/2001/XMLSchema" xmlns:xs="http://www.w3.org/2001/XMLSchema" xmlns:p="http://schemas.microsoft.com/office/2006/metadata/properties" xmlns:ns3="6e73c8a5-28c3-47f4-992a-f4fa50682205" targetNamespace="http://schemas.microsoft.com/office/2006/metadata/properties" ma:root="true" ma:fieldsID="b628a10aca925b4ba1761bda78ec0837" ns3:_="">
    <xsd:import namespace="6e73c8a5-28c3-47f4-992a-f4fa5068220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73c8a5-28c3-47f4-992a-f4fa5068220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8A1243-941C-4B52-AD27-080FC405BEA2}">
  <ds:schemaRefs>
    <ds:schemaRef ds:uri="http://purl.org/dc/elements/1.1/"/>
    <ds:schemaRef ds:uri="http://www.w3.org/XML/1998/namespace"/>
    <ds:schemaRef ds:uri="http://schemas.microsoft.com/office/infopath/2007/PartnerControls"/>
    <ds:schemaRef ds:uri="http://schemas.openxmlformats.org/package/2006/metadata/core-properties"/>
    <ds:schemaRef ds:uri="http://schemas.microsoft.com/office/2006/documentManagement/types"/>
    <ds:schemaRef ds:uri="6e73c8a5-28c3-47f4-992a-f4fa50682205"/>
    <ds:schemaRef ds:uri="http://purl.org/dc/term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824EB1D-A5BB-4A1D-9EF7-021B94920F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73c8a5-28c3-47f4-992a-f4fa506822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FC923E-6A08-4B4C-99AB-A7EF054636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Title</vt:lpstr>
      <vt:lpstr>Data</vt:lpstr>
      <vt:lpstr>Call Centre Report - 2023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Tejal Mugul</cp:lastModifiedBy>
  <dcterms:created xsi:type="dcterms:W3CDTF">2021-03-14T20:21:32Z</dcterms:created>
  <dcterms:modified xsi:type="dcterms:W3CDTF">2026-09-26T10:41:34Z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0x010100F769C0CB4422354FA91C3FE6D7914391</vt:lpwstr>
  </property>
</Properties>
</file>